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codeName="ThisWorkbook"/>
  <bookViews>
    <workbookView xWindow="240" yWindow="75" windowWidth="9180" windowHeight="5010"/>
  </bookViews>
  <sheets>
    <sheet name="Hoja1" sheetId="1" r:id="rId1"/>
    <sheet name="Hoja2" sheetId="2" r:id="rId2"/>
  </sheets>
  <definedNames>
    <definedName name="_xlnm.Print_Area" localSheetId="0">Hoja1!$D$2:$N$87</definedName>
  </definedNames>
  <calcPr calcId="125725"/>
</workbook>
</file>

<file path=xl/calcChain.xml><?xml version="1.0" encoding="utf-8"?>
<calcChain xmlns="http://schemas.openxmlformats.org/spreadsheetml/2006/main">
  <c r="I19" i="1"/>
  <c r="J34" l="1"/>
  <c r="I34"/>
  <c r="H34"/>
  <c r="E34"/>
  <c r="K42"/>
  <c r="J74" l="1"/>
  <c r="I74"/>
  <c r="E74"/>
  <c r="J48"/>
  <c r="I48"/>
  <c r="H48"/>
  <c r="E48"/>
  <c r="K52"/>
  <c r="Q52" s="1"/>
  <c r="I22"/>
  <c r="H25" l="1"/>
  <c r="H22" s="1"/>
  <c r="K36" l="1"/>
  <c r="K78"/>
  <c r="K82"/>
  <c r="K62" l="1"/>
  <c r="Q62" s="1"/>
  <c r="K51"/>
  <c r="Q51" s="1"/>
  <c r="K50"/>
  <c r="Q50" s="1"/>
  <c r="K49"/>
  <c r="Q49" s="1"/>
  <c r="K47"/>
  <c r="Q47" s="1"/>
  <c r="K46"/>
  <c r="Q46" s="1"/>
  <c r="K45"/>
  <c r="Q45" s="1"/>
  <c r="K44"/>
  <c r="K41"/>
  <c r="Q41" s="1"/>
  <c r="K40"/>
  <c r="Q40" s="1"/>
  <c r="K39"/>
  <c r="Q39" s="1"/>
  <c r="K38"/>
  <c r="Q38" s="1"/>
  <c r="K37"/>
  <c r="Q37" s="1"/>
  <c r="J55"/>
  <c r="I55"/>
  <c r="H55"/>
  <c r="E55"/>
  <c r="K43" l="1"/>
  <c r="Q43" s="1"/>
  <c r="K48"/>
  <c r="Q44"/>
  <c r="Q48"/>
  <c r="H43" l="1"/>
  <c r="J43"/>
  <c r="I43"/>
  <c r="I14"/>
  <c r="E43"/>
  <c r="H14"/>
  <c r="J14"/>
  <c r="E14"/>
  <c r="K9"/>
  <c r="K13"/>
  <c r="Q13" s="1"/>
  <c r="K15"/>
  <c r="Q15" s="1"/>
  <c r="K16"/>
  <c r="Q16" s="1"/>
  <c r="K17"/>
  <c r="Q17" s="1"/>
  <c r="K18"/>
  <c r="Q18" s="1"/>
  <c r="E19"/>
  <c r="H19"/>
  <c r="J19"/>
  <c r="K20"/>
  <c r="Q20" s="1"/>
  <c r="K21"/>
  <c r="Q21" s="1"/>
  <c r="E22"/>
  <c r="J22"/>
  <c r="K23"/>
  <c r="Q23" s="1"/>
  <c r="K24"/>
  <c r="Q24" s="1"/>
  <c r="E25"/>
  <c r="G25"/>
  <c r="I25"/>
  <c r="J25"/>
  <c r="K26"/>
  <c r="Q26" s="1"/>
  <c r="K27"/>
  <c r="Q27" s="1"/>
  <c r="K28"/>
  <c r="Q28" s="1"/>
  <c r="E30"/>
  <c r="F30"/>
  <c r="G30"/>
  <c r="H30"/>
  <c r="I30"/>
  <c r="J30"/>
  <c r="K31"/>
  <c r="Q31" s="1"/>
  <c r="K32"/>
  <c r="Q32" s="1"/>
  <c r="K33"/>
  <c r="Q33" s="1"/>
  <c r="K35"/>
  <c r="Q36"/>
  <c r="K56"/>
  <c r="Q56" s="1"/>
  <c r="K57"/>
  <c r="Q57" s="1"/>
  <c r="K58"/>
  <c r="Q58" s="1"/>
  <c r="K59"/>
  <c r="Q59" s="1"/>
  <c r="K60"/>
  <c r="Q60" s="1"/>
  <c r="K61"/>
  <c r="Q61" s="1"/>
  <c r="E63"/>
  <c r="H63" s="1"/>
  <c r="I63"/>
  <c r="J63"/>
  <c r="K64"/>
  <c r="Q64" s="1"/>
  <c r="K65"/>
  <c r="Q65" s="1"/>
  <c r="K66"/>
  <c r="Q66" s="1"/>
  <c r="K67"/>
  <c r="Q67" s="1"/>
  <c r="K68"/>
  <c r="Q68" s="1"/>
  <c r="K69"/>
  <c r="Q69" s="1"/>
  <c r="K70"/>
  <c r="Q70" s="1"/>
  <c r="E71"/>
  <c r="H71"/>
  <c r="I71"/>
  <c r="J71"/>
  <c r="K72"/>
  <c r="Q72" s="1"/>
  <c r="K73"/>
  <c r="Q73" s="1"/>
  <c r="K75"/>
  <c r="K76"/>
  <c r="Q76" s="1"/>
  <c r="K77"/>
  <c r="Q77" s="1"/>
  <c r="E79"/>
  <c r="H79"/>
  <c r="I79"/>
  <c r="J79"/>
  <c r="K80"/>
  <c r="Q80" s="1"/>
  <c r="K81"/>
  <c r="Q81" s="1"/>
  <c r="Q35" l="1"/>
  <c r="Q34" s="1"/>
  <c r="K34"/>
  <c r="Q75"/>
  <c r="Q74" s="1"/>
  <c r="K74"/>
  <c r="Q22"/>
  <c r="I83"/>
  <c r="I53"/>
  <c r="Q79"/>
  <c r="Q25"/>
  <c r="Q71"/>
  <c r="Q55"/>
  <c r="Q30"/>
  <c r="Q19"/>
  <c r="Q14"/>
  <c r="Q63"/>
  <c r="K55"/>
  <c r="K19"/>
  <c r="K71"/>
  <c r="K25"/>
  <c r="K63"/>
  <c r="K14"/>
  <c r="H83"/>
  <c r="J83"/>
  <c r="K30"/>
  <c r="E53"/>
  <c r="K79"/>
  <c r="E83"/>
  <c r="K22"/>
  <c r="T6" l="1"/>
  <c r="T9"/>
  <c r="Q83"/>
  <c r="Q53"/>
  <c r="H53"/>
  <c r="H84" s="1"/>
  <c r="K53"/>
  <c r="I84"/>
  <c r="K83"/>
  <c r="E84"/>
  <c r="T14" l="1"/>
  <c r="T15"/>
  <c r="T13"/>
  <c r="Q84"/>
  <c r="K84"/>
  <c r="T16" l="1"/>
  <c r="J53"/>
  <c r="J84" s="1"/>
  <c r="E87" s="1"/>
</calcChain>
</file>

<file path=xl/sharedStrings.xml><?xml version="1.0" encoding="utf-8"?>
<sst xmlns="http://schemas.openxmlformats.org/spreadsheetml/2006/main" count="226" uniqueCount="167">
  <si>
    <t>D E T A L L E  -   B R U T O</t>
  </si>
  <si>
    <t xml:space="preserve">LIQUIDO  Y  PENSION ALIMENTICIA   A    PAGAR  </t>
  </si>
  <si>
    <t>BRUTO</t>
  </si>
  <si>
    <t>LIQUIDO</t>
  </si>
  <si>
    <t>PENS. ALIMENT</t>
  </si>
  <si>
    <t>APORTES Y RET.VRIAS</t>
  </si>
  <si>
    <t>TOT. (LIQ.+P/A)</t>
  </si>
  <si>
    <t>CONCEPTO</t>
  </si>
  <si>
    <t>(1+2+3)</t>
  </si>
  <si>
    <t>(1)</t>
  </si>
  <si>
    <t>(2)</t>
  </si>
  <si>
    <t>(1) + (2) = D</t>
  </si>
  <si>
    <t>ADMINISTRACION CENTRAL</t>
  </si>
  <si>
    <t xml:space="preserve">   ESCALAFON GENERAL </t>
  </si>
  <si>
    <t xml:space="preserve">   EDUCACION</t>
  </si>
  <si>
    <t xml:space="preserve">      DOCENTES OFICIALES (R.18)</t>
  </si>
  <si>
    <t xml:space="preserve">      DOCENTES SECUNDAR. TRANSF(R.25)</t>
  </si>
  <si>
    <t xml:space="preserve">      DOCENTES TECNICOS TRANSF(R.26)</t>
  </si>
  <si>
    <t xml:space="preserve">      DOCENTES TERCIARIOS TRANSF(R.27)</t>
  </si>
  <si>
    <t xml:space="preserve">   SEGURIDAD</t>
  </si>
  <si>
    <t xml:space="preserve">      POLICIA DE TUCUMAN (R.212)</t>
  </si>
  <si>
    <t xml:space="preserve">      POLICIA DE TUCUMAN (R.217)</t>
  </si>
  <si>
    <t xml:space="preserve">      INSTITUTOS PENALES (R.213)</t>
  </si>
  <si>
    <t xml:space="preserve">      INSTITUTOS PENALES (R.215)</t>
  </si>
  <si>
    <t xml:space="preserve">   PLAN DE TRABAJOS PUBLICOS</t>
  </si>
  <si>
    <t xml:space="preserve">      MENSUALZADOS</t>
  </si>
  <si>
    <t xml:space="preserve">        DIRECCION DEL AGUA</t>
  </si>
  <si>
    <t xml:space="preserve">        DIR.DE ARQUITECTURA (D.A.U)</t>
  </si>
  <si>
    <t xml:space="preserve">        DIR.DE CONSTRUCCION. ESCOLARES</t>
  </si>
  <si>
    <t xml:space="preserve">    JORNALIZADOS</t>
  </si>
  <si>
    <t xml:space="preserve">        SEC.DE AGRICULTURA Y GANADERIA</t>
  </si>
  <si>
    <t xml:space="preserve">        SEC.DE TURISMO</t>
  </si>
  <si>
    <t xml:space="preserve">   PODERES AUTARQUICOS</t>
  </si>
  <si>
    <t xml:space="preserve">       PODER LEGISLATIVO</t>
  </si>
  <si>
    <t>N.B</t>
  </si>
  <si>
    <t>(*)</t>
  </si>
  <si>
    <t xml:space="preserve">         HONORABLE LEGISLATURA P.P.P.</t>
  </si>
  <si>
    <t xml:space="preserve">         HONORABLE LEGISLATURA - DIETA -</t>
  </si>
  <si>
    <t xml:space="preserve">         HONORABLE LEGISLATURA - ASESORES</t>
  </si>
  <si>
    <t xml:space="preserve">      PODER JUDICIAL</t>
  </si>
  <si>
    <t xml:space="preserve">        CORTE SUP. DE JUSTICIA P.P.P.</t>
  </si>
  <si>
    <t xml:space="preserve">        CENTRO JUDICIAL CONCEPCION </t>
  </si>
  <si>
    <t xml:space="preserve">        JUSTICIA DE PAZ LEGA </t>
  </si>
  <si>
    <t xml:space="preserve">        CORTE SUP. DE JUSTICIA-TEMPORARIO </t>
  </si>
  <si>
    <t xml:space="preserve">     TRIBUNAL DE CUENTAS</t>
  </si>
  <si>
    <t>OTROS  APORTES</t>
  </si>
  <si>
    <t>ORGANISMOS DESCENTRALIZADOS</t>
  </si>
  <si>
    <t xml:space="preserve">     SIPROSA </t>
  </si>
  <si>
    <t xml:space="preserve">     VIALIDAD</t>
  </si>
  <si>
    <t xml:space="preserve">     VIALIDAD-DEST. POLICIAL- </t>
  </si>
  <si>
    <t xml:space="preserve">     SEPAPYS (EX DIPOS) </t>
  </si>
  <si>
    <t>TOTAL GENERAL</t>
  </si>
  <si>
    <t>LIQUIDACIONES NO EFECTUADAS POR EL CENTRO DE COMPUTOS.</t>
  </si>
  <si>
    <t>NO BANCARIZADOS</t>
  </si>
  <si>
    <t>P</t>
  </si>
  <si>
    <t>(PROVISORIOS) VALORES TOMADOS DEL MES ANTERIOR</t>
  </si>
  <si>
    <t>APORTES REINTEGRABLES Y NO REINTEGRABLES</t>
  </si>
  <si>
    <t>APORTES A COLEGIOS PRIVADOS</t>
  </si>
  <si>
    <t xml:space="preserve">     PRIVADOS PRIMARIOS OFICIALES</t>
  </si>
  <si>
    <t xml:space="preserve">     PRIVADOS SECUNDARIOS TRANSF.</t>
  </si>
  <si>
    <t xml:space="preserve">     PRIVADOS TERCIARIOS TRANSF.</t>
  </si>
  <si>
    <t>APORTES ENTES REGULADORES</t>
  </si>
  <si>
    <t xml:space="preserve">     E.R.S.A.C.</t>
  </si>
  <si>
    <t>APORTES COOP.Y MUTUAL</t>
  </si>
  <si>
    <t xml:space="preserve">     INST.PCIAL.DE ACCION COOP.Y MUTUAL        </t>
  </si>
  <si>
    <t xml:space="preserve">APORTES AL I.S.S.P </t>
  </si>
  <si>
    <t xml:space="preserve">     JUBILADO F/DE CONVENIO </t>
  </si>
  <si>
    <t xml:space="preserve">     ASIG.ESP.TALLERES T.VIEJO</t>
  </si>
  <si>
    <t>RENTA VITALICIA- HEROES MALVINAS</t>
  </si>
  <si>
    <t>MUNICIPIOS Y COMUNAS RURALES</t>
  </si>
  <si>
    <t xml:space="preserve">     COMUNAS RURALES</t>
  </si>
  <si>
    <t xml:space="preserve">     MUNICIPIOS (PACTO SOCIAL)</t>
  </si>
  <si>
    <t xml:space="preserve">     MUNICIPIOS (P/FUERA DEL PACTO SOCIAL)</t>
  </si>
  <si>
    <t xml:space="preserve">     SAN MIGUEL DE TUCUMAN</t>
  </si>
  <si>
    <t>SUB-TOTAL</t>
  </si>
  <si>
    <t>(P) Provisorios-valores tomados del mes anterior</t>
  </si>
  <si>
    <t>(*) Comunas Rurales-se paga c/F.D.I. Y CTA 97711/7</t>
  </si>
  <si>
    <t>TOTAL PAGADO</t>
  </si>
  <si>
    <t>TESORERIA GRALde la PCIA</t>
  </si>
  <si>
    <t>- DTPO FINANCIERO -</t>
  </si>
  <si>
    <t xml:space="preserve">PAGADO  EN </t>
  </si>
  <si>
    <t xml:space="preserve"> TOTAL PAGADO</t>
  </si>
  <si>
    <t>SALDO</t>
  </si>
  <si>
    <t>(3)</t>
  </si>
  <si>
    <t>EFECTIVO  (A)</t>
  </si>
  <si>
    <t>BONOS  (B)</t>
  </si>
  <si>
    <t>(A) + (B) = C</t>
  </si>
  <si>
    <t xml:space="preserve"> (D) - (C)</t>
  </si>
  <si>
    <t>.</t>
  </si>
  <si>
    <t>CENTRO JUDIC.DE MONTEROS(*)</t>
  </si>
  <si>
    <t>p</t>
  </si>
  <si>
    <t xml:space="preserve">     RENTA VITALICIA- HEROES MALVINAS</t>
  </si>
  <si>
    <t>S U E L D O S     D E    N O V I E M B R E    2  0 0 4</t>
  </si>
  <si>
    <t>20 %  LEY 7991</t>
  </si>
  <si>
    <t>ORGANISMOS AUTARQUICOS</t>
  </si>
  <si>
    <t>1-</t>
  </si>
  <si>
    <t>ESCALAFON GENERAL-ORGANISMOS CENTRALIZADOS</t>
  </si>
  <si>
    <t>2-</t>
  </si>
  <si>
    <t>MINISTERIO DE EDUCACION</t>
  </si>
  <si>
    <t>3-</t>
  </si>
  <si>
    <t>DEPARTAMENTO GENERAL DE POLICIA</t>
  </si>
  <si>
    <t>4-</t>
  </si>
  <si>
    <t>DIRECCION GENERAL DE INSTITUTOS PENALES</t>
  </si>
  <si>
    <t>5-</t>
  </si>
  <si>
    <t>ORGANISMOS CONTROLADORES</t>
  </si>
  <si>
    <t xml:space="preserve">     DEFENSORIA DEL PUEBLO</t>
  </si>
  <si>
    <t>PODERES DEL ESTADO</t>
  </si>
  <si>
    <t>6-</t>
  </si>
  <si>
    <t>7-</t>
  </si>
  <si>
    <t xml:space="preserve">                SUB-TOTAL-ADMINISTRACION CENTRAL</t>
  </si>
  <si>
    <t>8-</t>
  </si>
  <si>
    <t xml:space="preserve">     SISTEMA PROVINCIAL DE SALUD ( SIPROSA)</t>
  </si>
  <si>
    <t xml:space="preserve">     DIRECCION PROVINCIAL DE VIALIDAD ( D.P.V.)</t>
  </si>
  <si>
    <t xml:space="preserve">     DIRECCION PROV. DE VIALIDAD ( DESTAC.POLICIAL )</t>
  </si>
  <si>
    <t xml:space="preserve">     DIRECCION DE REC.HIDRICOS</t>
  </si>
  <si>
    <t xml:space="preserve">     ENTE DE INFRAESTRUCTURA COMUNITARIA</t>
  </si>
  <si>
    <t xml:space="preserve">     INSTITUTO PROV.DE ACCION COOP. Y MUTUAL ( I.P.A.CYM)</t>
  </si>
  <si>
    <t>9-</t>
  </si>
  <si>
    <t xml:space="preserve">    SERVIC.PROV.DE AGUA POTAB.Y SANEAMIENTO(SEPAPYS)</t>
  </si>
  <si>
    <t xml:space="preserve">    ENTE AUTARQUICO TUCUMAN TURISMO</t>
  </si>
  <si>
    <t xml:space="preserve">    ENTE CULTURAL</t>
  </si>
  <si>
    <t xml:space="preserve">    INST.DESARR.PROD.DE TUCUMAN</t>
  </si>
  <si>
    <t>10-</t>
  </si>
  <si>
    <t xml:space="preserve"> COLEGIOS PRIVADOS</t>
  </si>
  <si>
    <t xml:space="preserve">     PRIVADOS SEC.Y TERCIAR. TRANSF.</t>
  </si>
  <si>
    <t>11-</t>
  </si>
  <si>
    <t xml:space="preserve">INST.DE PREVISION Y SEGURIDAD SOCIAL DE TUCUMAN </t>
  </si>
  <si>
    <t>12-</t>
  </si>
  <si>
    <t>SUB-TOTAL OTROS APORTES</t>
  </si>
  <si>
    <t xml:space="preserve"> </t>
  </si>
  <si>
    <t xml:space="preserve">                                                                   TESORERÍA GENERAL DE LA PROVINCIA DE TUCUMÁN            </t>
  </si>
  <si>
    <t xml:space="preserve">                                                                                     MINISTERIO DE ECONOMÍA - SECRETARÍA DE ESTADO DE HACIENDA</t>
  </si>
  <si>
    <r>
      <t xml:space="preserve">CORTE SUP. DE JUSTICIA P.P.P.-  </t>
    </r>
    <r>
      <rPr>
        <b/>
        <sz val="12"/>
        <rFont val="Arial"/>
        <family val="2"/>
      </rPr>
      <t>( PROG.11)</t>
    </r>
  </si>
  <si>
    <r>
      <t xml:space="preserve">CENTRO JUDICIAL CONCEPCION -    </t>
    </r>
    <r>
      <rPr>
        <b/>
        <sz val="12"/>
        <rFont val="Arial"/>
        <family val="2"/>
      </rPr>
      <t>(PROG. 13)</t>
    </r>
  </si>
  <si>
    <r>
      <t xml:space="preserve">CENTRO JUDIC.DE MONTEROS(*) -   </t>
    </r>
    <r>
      <rPr>
        <b/>
        <sz val="12"/>
        <rFont val="Arial"/>
        <family val="2"/>
      </rPr>
      <t>(PROG. 14)</t>
    </r>
  </si>
  <si>
    <r>
      <t xml:space="preserve">JUNTA ELECTORAL -  </t>
    </r>
    <r>
      <rPr>
        <b/>
        <sz val="12"/>
        <rFont val="Arial"/>
        <family val="2"/>
      </rPr>
      <t>( PROG. 16)</t>
    </r>
  </si>
  <si>
    <r>
      <t xml:space="preserve">CONSEJO ASESOR MAGISTRAT.-  </t>
    </r>
    <r>
      <rPr>
        <b/>
        <sz val="12"/>
        <rFont val="Arial"/>
        <family val="2"/>
      </rPr>
      <t>( PROG. 17)</t>
    </r>
  </si>
  <si>
    <r>
      <t xml:space="preserve">CORTE SUP. DE JUSTICIA-TEMP -   </t>
    </r>
    <r>
      <rPr>
        <b/>
        <sz val="12"/>
        <rFont val="Arial"/>
        <family val="2"/>
      </rPr>
      <t>(PROG. 11)</t>
    </r>
  </si>
  <si>
    <t xml:space="preserve">     JUBILADO F/DE CONVENIO - EX BANCO</t>
  </si>
  <si>
    <t xml:space="preserve">     JUBILADO F/DE CONVENIO - EX DIPOS</t>
  </si>
  <si>
    <t xml:space="preserve">    INST.PROMOC. DEL AZUCAR Y ALCOHOL DE TUC.</t>
  </si>
  <si>
    <t xml:space="preserve">    ENTE UNICO DE REG,DE SERV.PUB.PCIAL. (E.R.S.E.P.T.)</t>
  </si>
  <si>
    <t xml:space="preserve">    ENTE AUT. TEATRO MERCEDES SOSA</t>
  </si>
  <si>
    <t xml:space="preserve">     TRIBUNAL  FISCAL DE APELACIONES</t>
  </si>
  <si>
    <r>
      <t xml:space="preserve">     </t>
    </r>
    <r>
      <rPr>
        <sz val="12"/>
        <rFont val="Arial"/>
        <family val="2"/>
      </rPr>
      <t xml:space="preserve"> MUNICIPIOS DEL INTERIOR</t>
    </r>
  </si>
  <si>
    <r>
      <t>CONCEPCION-ACTIVIDAD 2-</t>
    </r>
    <r>
      <rPr>
        <b/>
        <sz val="12"/>
        <color indexed="10"/>
        <rFont val="Arial"/>
        <family val="2"/>
      </rPr>
      <t xml:space="preserve"> PROG.-11 - U.O.18</t>
    </r>
  </si>
  <si>
    <r>
      <t>MONTEROS-ACTIVIDAD 3 -</t>
    </r>
    <r>
      <rPr>
        <b/>
        <sz val="12"/>
        <color indexed="10"/>
        <rFont val="Arial"/>
        <family val="2"/>
      </rPr>
      <t>PROG.111- U.O. 18</t>
    </r>
  </si>
  <si>
    <r>
      <t>CAPITAL -ACTIVIDAD-1</t>
    </r>
    <r>
      <rPr>
        <b/>
        <sz val="12"/>
        <rFont val="Arial"/>
        <family val="2"/>
      </rPr>
      <t xml:space="preserve"> </t>
    </r>
    <r>
      <rPr>
        <b/>
        <sz val="12"/>
        <color indexed="10"/>
        <rFont val="Arial"/>
        <family val="2"/>
      </rPr>
      <t>-PROG.-11 - U.O.18</t>
    </r>
  </si>
  <si>
    <t xml:space="preserve">MINISTERIO PUBLICO FISCAL </t>
  </si>
  <si>
    <t>MINISTERIO PUPILAR Y DE LA DEFENSA</t>
  </si>
  <si>
    <r>
      <t xml:space="preserve">CAPITAL-ACTIVIDAD-01- </t>
    </r>
    <r>
      <rPr>
        <b/>
        <sz val="12"/>
        <color indexed="12"/>
        <rFont val="Arial"/>
        <family val="2"/>
      </rPr>
      <t xml:space="preserve"> </t>
    </r>
    <r>
      <rPr>
        <b/>
        <sz val="12"/>
        <color indexed="40"/>
        <rFont val="Arial"/>
        <family val="2"/>
      </rPr>
      <t xml:space="preserve"> PROG-11- U.O.-19</t>
    </r>
  </si>
  <si>
    <r>
      <t xml:space="preserve">CONCEPCION-ACTIVIDAD-02-  </t>
    </r>
    <r>
      <rPr>
        <b/>
        <sz val="12"/>
        <color indexed="40"/>
        <rFont val="Arial"/>
        <family val="2"/>
      </rPr>
      <t xml:space="preserve"> PROG-11- U.O.-19</t>
    </r>
  </si>
  <si>
    <r>
      <t xml:space="preserve">MONTEROS-ACTIVIDAD-03- </t>
    </r>
    <r>
      <rPr>
        <b/>
        <sz val="12"/>
        <color indexed="12"/>
        <rFont val="Arial"/>
        <family val="2"/>
      </rPr>
      <t xml:space="preserve"> </t>
    </r>
    <r>
      <rPr>
        <b/>
        <sz val="12"/>
        <color indexed="40"/>
        <rFont val="Arial"/>
        <family val="2"/>
      </rPr>
      <t>PROG-11- U.O.-19</t>
    </r>
  </si>
  <si>
    <r>
      <t>CAPITAL -ACTIVIDAD-1-TEMPORARIO</t>
    </r>
    <r>
      <rPr>
        <b/>
        <sz val="12"/>
        <rFont val="Arial"/>
        <family val="2"/>
      </rPr>
      <t xml:space="preserve"> </t>
    </r>
    <r>
      <rPr>
        <b/>
        <sz val="12"/>
        <color indexed="10"/>
        <rFont val="Arial"/>
        <family val="2"/>
      </rPr>
      <t>-PROG.-11 - U.O.18</t>
    </r>
  </si>
  <si>
    <t xml:space="preserve">     INSTITUTO PROVINCIAL DE LA VIVIENDA</t>
  </si>
  <si>
    <t>AGUINALDO</t>
  </si>
  <si>
    <t>educacion</t>
  </si>
  <si>
    <t>1º dia</t>
  </si>
  <si>
    <t>2º dia</t>
  </si>
  <si>
    <t>3º dia</t>
  </si>
  <si>
    <t xml:space="preserve">     I.P.S.S.P.T.- RENTA VITALICIA - </t>
  </si>
  <si>
    <r>
      <t xml:space="preserve">JUSTICIA DE PAZ LEGA -   </t>
    </r>
    <r>
      <rPr>
        <b/>
        <sz val="12"/>
        <rFont val="Arial"/>
        <family val="2"/>
      </rPr>
      <t>(PROG.15)</t>
    </r>
  </si>
  <si>
    <t>HONORABLE LEGISLATURA P.P.P.</t>
  </si>
  <si>
    <t>HONORABLE LEGISLATURA - TEMPORARIOS</t>
  </si>
  <si>
    <t>HONORABLE LEGISLATURA - ASESORES-DIETA HONOR.PROFEC</t>
  </si>
  <si>
    <r>
      <t xml:space="preserve">CENTRO JUDICIAL ESTE - </t>
    </r>
    <r>
      <rPr>
        <b/>
        <sz val="12"/>
        <rFont val="Arial"/>
        <family val="2"/>
      </rPr>
      <t>PROG. 23</t>
    </r>
  </si>
  <si>
    <t xml:space="preserve">SUELDO  Y  LEY 7991  DEL MES DE  MAYO  2022 </t>
  </si>
</sst>
</file>

<file path=xl/styles.xml><?xml version="1.0" encoding="utf-8"?>
<styleSheet xmlns="http://schemas.openxmlformats.org/spreadsheetml/2006/main">
  <numFmts count="5">
    <numFmt numFmtId="43" formatCode="_-* #,##0.00\ _€_-;\-* #,##0.00\ _€_-;_-* &quot;-&quot;??\ _€_-;_-@_-"/>
    <numFmt numFmtId="164" formatCode="_-* #,##0.00_-;\-* #,##0.00_-;_-* &quot;-&quot;??_-;_-@_-"/>
    <numFmt numFmtId="165" formatCode="dd/mm/yy_)"/>
    <numFmt numFmtId="166" formatCode="_(* #,##0.00_);_(* \(#,##0.00\);_(* &quot;-&quot;??_);_(@_)"/>
    <numFmt numFmtId="167" formatCode="dd\-mm\-yy;@"/>
  </numFmts>
  <fonts count="44">
    <font>
      <sz val="10"/>
      <name val="Arial"/>
    </font>
    <font>
      <sz val="10"/>
      <name val="Arial"/>
      <family val="2"/>
    </font>
    <font>
      <b/>
      <i/>
      <sz val="8"/>
      <name val="Arial"/>
      <family val="2"/>
    </font>
    <font>
      <b/>
      <sz val="10"/>
      <color indexed="8"/>
      <name val="Arial"/>
      <family val="2"/>
    </font>
    <font>
      <sz val="9"/>
      <color indexed="8"/>
      <name val="Arial"/>
      <family val="2"/>
    </font>
    <font>
      <b/>
      <sz val="9"/>
      <color indexed="8"/>
      <name val="Arial"/>
      <family val="2"/>
    </font>
    <font>
      <b/>
      <sz val="11"/>
      <color indexed="8"/>
      <name val="Arial"/>
      <family val="2"/>
    </font>
    <font>
      <sz val="9"/>
      <name val="Arial"/>
      <family val="2"/>
    </font>
    <font>
      <sz val="11"/>
      <name val="Arial"/>
      <family val="2"/>
    </font>
    <font>
      <b/>
      <sz val="10"/>
      <name val="Arial"/>
      <family val="2"/>
    </font>
    <font>
      <b/>
      <i/>
      <sz val="9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sz val="10"/>
      <color indexed="9"/>
      <name val="Arial"/>
      <family val="2"/>
    </font>
    <font>
      <b/>
      <sz val="9"/>
      <color indexed="9"/>
      <name val="Arial"/>
      <family val="2"/>
    </font>
    <font>
      <sz val="9"/>
      <color indexed="9"/>
      <name val="Arial"/>
      <family val="2"/>
    </font>
    <font>
      <b/>
      <sz val="12"/>
      <color indexed="8"/>
      <name val="Arial"/>
      <family val="2"/>
    </font>
    <font>
      <b/>
      <sz val="12"/>
      <name val="Times New Roman"/>
      <family val="1"/>
    </font>
    <font>
      <sz val="14"/>
      <name val="Arial"/>
      <family val="2"/>
    </font>
    <font>
      <b/>
      <i/>
      <sz val="14"/>
      <name val="Arial"/>
      <family val="2"/>
    </font>
    <font>
      <b/>
      <sz val="14"/>
      <color indexed="8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2"/>
      <color indexed="8"/>
      <name val="Arial"/>
      <family val="2"/>
    </font>
    <font>
      <b/>
      <sz val="12"/>
      <name val="Arial"/>
      <family val="2"/>
    </font>
    <font>
      <b/>
      <i/>
      <sz val="12"/>
      <name val="Arial"/>
      <family val="2"/>
    </font>
    <font>
      <b/>
      <sz val="12"/>
      <color indexed="9"/>
      <name val="Arial"/>
      <family val="2"/>
    </font>
    <font>
      <b/>
      <i/>
      <sz val="12"/>
      <color indexed="9"/>
      <name val="Arial"/>
      <family val="2"/>
    </font>
    <font>
      <b/>
      <i/>
      <sz val="12"/>
      <color indexed="8"/>
      <name val="Arial"/>
      <family val="2"/>
    </font>
    <font>
      <b/>
      <u/>
      <sz val="12"/>
      <color indexed="8"/>
      <name val="Arial"/>
      <family val="2"/>
    </font>
    <font>
      <sz val="12"/>
      <name val="Arial"/>
      <family val="2"/>
    </font>
    <font>
      <sz val="12"/>
      <color indexed="8"/>
      <name val="Arial"/>
      <family val="2"/>
    </font>
    <font>
      <sz val="12"/>
      <color indexed="10"/>
      <name val="Arial"/>
      <family val="2"/>
    </font>
    <font>
      <sz val="14"/>
      <name val="Arial"/>
      <family val="2"/>
    </font>
    <font>
      <sz val="14"/>
      <color indexed="8"/>
      <name val="Arial"/>
      <family val="2"/>
    </font>
    <font>
      <b/>
      <sz val="12"/>
      <color indexed="10"/>
      <name val="Arial"/>
      <family val="2"/>
    </font>
    <font>
      <b/>
      <sz val="12"/>
      <color indexed="12"/>
      <name val="Arial"/>
      <family val="2"/>
    </font>
    <font>
      <b/>
      <sz val="12"/>
      <color indexed="40"/>
      <name val="Arial"/>
      <family val="2"/>
    </font>
    <font>
      <b/>
      <sz val="10"/>
      <color rgb="FFFF0000"/>
      <name val="Arial"/>
      <family val="2"/>
    </font>
    <font>
      <b/>
      <sz val="10"/>
      <color rgb="FF00B050"/>
      <name val="Arial"/>
      <family val="2"/>
    </font>
    <font>
      <sz val="10"/>
      <color rgb="FFFF0000"/>
      <name val="Arial"/>
      <family val="2"/>
    </font>
    <font>
      <sz val="10"/>
      <color rgb="FF0000FF"/>
      <name val="Arial"/>
      <family val="2"/>
    </font>
    <font>
      <sz val="10"/>
      <color rgb="FF00B050"/>
      <name val="Arial"/>
      <family val="2"/>
    </font>
    <font>
      <b/>
      <sz val="10"/>
      <color rgb="FF0000FF"/>
      <name val="Arial"/>
      <family val="2"/>
    </font>
  </fonts>
  <fills count="2">
    <fill>
      <patternFill patternType="none"/>
    </fill>
    <fill>
      <patternFill patternType="gray125"/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166">
    <xf numFmtId="0" fontId="0" fillId="0" borderId="0" xfId="0"/>
    <xf numFmtId="0" fontId="4" fillId="0" borderId="0" xfId="0" applyFont="1" applyFill="1" applyBorder="1" applyAlignment="1" applyProtection="1"/>
    <xf numFmtId="0" fontId="6" fillId="0" borderId="0" xfId="0" applyFont="1" applyFill="1" applyBorder="1" applyAlignment="1" applyProtection="1"/>
    <xf numFmtId="0" fontId="3" fillId="0" borderId="0" xfId="0" applyFont="1" applyFill="1" applyBorder="1" applyAlignment="1" applyProtection="1"/>
    <xf numFmtId="0" fontId="5" fillId="0" borderId="0" xfId="0" applyFont="1" applyFill="1" applyBorder="1" applyAlignment="1" applyProtection="1"/>
    <xf numFmtId="0" fontId="2" fillId="0" borderId="0" xfId="0" applyFont="1"/>
    <xf numFmtId="16" fontId="5" fillId="0" borderId="0" xfId="0" quotePrefix="1" applyNumberFormat="1" applyFont="1" applyFill="1" applyBorder="1" applyAlignment="1" applyProtection="1"/>
    <xf numFmtId="0" fontId="7" fillId="0" borderId="0" xfId="0" applyFont="1" applyBorder="1" applyAlignment="1"/>
    <xf numFmtId="0" fontId="8" fillId="0" borderId="0" xfId="0" applyFont="1" applyBorder="1" applyAlignment="1"/>
    <xf numFmtId="39" fontId="4" fillId="0" borderId="0" xfId="0" applyNumberFormat="1" applyFont="1" applyFill="1" applyBorder="1" applyProtection="1"/>
    <xf numFmtId="39" fontId="5" fillId="0" borderId="0" xfId="0" applyNumberFormat="1" applyFont="1" applyFill="1" applyBorder="1" applyProtection="1"/>
    <xf numFmtId="0" fontId="0" fillId="0" borderId="0" xfId="0" applyBorder="1"/>
    <xf numFmtId="39" fontId="0" fillId="0" borderId="0" xfId="0" applyNumberFormat="1" applyBorder="1"/>
    <xf numFmtId="0" fontId="10" fillId="0" borderId="0" xfId="0" applyFont="1" applyBorder="1" applyAlignment="1">
      <alignment horizontal="right"/>
    </xf>
    <xf numFmtId="0" fontId="2" fillId="0" borderId="0" xfId="0" applyFont="1" applyBorder="1"/>
    <xf numFmtId="4" fontId="7" fillId="0" borderId="0" xfId="0" applyNumberFormat="1" applyFont="1"/>
    <xf numFmtId="39" fontId="3" fillId="0" borderId="0" xfId="0" applyNumberFormat="1" applyFont="1" applyFill="1" applyBorder="1" applyProtection="1"/>
    <xf numFmtId="0" fontId="12" fillId="0" borderId="0" xfId="0" applyFont="1"/>
    <xf numFmtId="0" fontId="3" fillId="0" borderId="0" xfId="0" applyFont="1" applyFill="1" applyBorder="1" applyAlignment="1" applyProtection="1">
      <alignment horizontal="center"/>
    </xf>
    <xf numFmtId="0" fontId="11" fillId="0" borderId="0" xfId="0" applyFont="1" applyFill="1" applyBorder="1" applyAlignment="1" applyProtection="1"/>
    <xf numFmtId="0" fontId="11" fillId="0" borderId="0" xfId="0" applyFont="1" applyFill="1" applyBorder="1"/>
    <xf numFmtId="0" fontId="12" fillId="0" borderId="0" xfId="0" applyFont="1" applyBorder="1" applyAlignment="1"/>
    <xf numFmtId="16" fontId="3" fillId="0" borderId="0" xfId="0" quotePrefix="1" applyNumberFormat="1" applyFont="1" applyFill="1" applyBorder="1" applyAlignment="1" applyProtection="1"/>
    <xf numFmtId="0" fontId="3" fillId="0" borderId="0" xfId="0" quotePrefix="1" applyFont="1" applyFill="1" applyBorder="1" applyAlignment="1" applyProtection="1"/>
    <xf numFmtId="39" fontId="12" fillId="0" borderId="0" xfId="0" applyNumberFormat="1" applyFont="1" applyFill="1" applyBorder="1"/>
    <xf numFmtId="0" fontId="13" fillId="0" borderId="0" xfId="0" applyFont="1"/>
    <xf numFmtId="0" fontId="14" fillId="0" borderId="0" xfId="0" applyFont="1" applyFill="1" applyBorder="1" applyAlignment="1" applyProtection="1"/>
    <xf numFmtId="39" fontId="14" fillId="0" borderId="0" xfId="0" applyNumberFormat="1" applyFont="1" applyFill="1" applyBorder="1" applyProtection="1"/>
    <xf numFmtId="0" fontId="14" fillId="0" borderId="0" xfId="0" applyFont="1"/>
    <xf numFmtId="4" fontId="15" fillId="0" borderId="0" xfId="0" applyNumberFormat="1" applyFont="1"/>
    <xf numFmtId="0" fontId="9" fillId="0" borderId="0" xfId="0" applyFont="1" applyAlignment="1">
      <alignment horizontal="left"/>
    </xf>
    <xf numFmtId="0" fontId="9" fillId="0" borderId="0" xfId="0" applyFont="1"/>
    <xf numFmtId="0" fontId="16" fillId="0" borderId="0" xfId="0" applyFont="1" applyFill="1" applyBorder="1" applyAlignment="1" applyProtection="1">
      <alignment horizontal="center"/>
    </xf>
    <xf numFmtId="164" fontId="12" fillId="0" borderId="0" xfId="1" applyFont="1" applyBorder="1"/>
    <xf numFmtId="39" fontId="11" fillId="0" borderId="0" xfId="0" applyNumberFormat="1" applyFont="1" applyFill="1" applyBorder="1" applyProtection="1"/>
    <xf numFmtId="166" fontId="11" fillId="0" borderId="0" xfId="0" applyNumberFormat="1" applyFont="1" applyFill="1" applyBorder="1" applyProtection="1"/>
    <xf numFmtId="0" fontId="3" fillId="0" borderId="0" xfId="0" applyFont="1" applyFill="1" applyBorder="1" applyAlignment="1" applyProtection="1">
      <alignment horizontal="right"/>
    </xf>
    <xf numFmtId="0" fontId="12" fillId="0" borderId="0" xfId="0" applyFont="1" applyFill="1" applyBorder="1"/>
    <xf numFmtId="14" fontId="11" fillId="0" borderId="0" xfId="0" applyNumberFormat="1" applyFont="1" applyFill="1" applyBorder="1" applyAlignment="1" applyProtection="1"/>
    <xf numFmtId="0" fontId="11" fillId="0" borderId="0" xfId="0" applyFont="1" applyFill="1" applyBorder="1" applyAlignment="1" applyProtection="1">
      <alignment horizontal="center"/>
    </xf>
    <xf numFmtId="16" fontId="3" fillId="0" borderId="0" xfId="0" quotePrefix="1" applyNumberFormat="1" applyFont="1" applyFill="1" applyBorder="1" applyAlignment="1" applyProtection="1">
      <alignment horizontal="center"/>
    </xf>
    <xf numFmtId="16" fontId="3" fillId="0" borderId="0" xfId="0" applyNumberFormat="1" applyFont="1" applyFill="1" applyBorder="1" applyAlignment="1" applyProtection="1">
      <alignment horizontal="center"/>
    </xf>
    <xf numFmtId="0" fontId="17" fillId="0" borderId="0" xfId="0" applyFont="1"/>
    <xf numFmtId="0" fontId="18" fillId="0" borderId="0" xfId="0" applyFont="1"/>
    <xf numFmtId="164" fontId="21" fillId="0" borderId="0" xfId="1" applyFont="1"/>
    <xf numFmtId="0" fontId="22" fillId="0" borderId="0" xfId="0" applyFont="1" applyBorder="1"/>
    <xf numFmtId="0" fontId="22" fillId="0" borderId="0" xfId="0" applyFont="1"/>
    <xf numFmtId="167" fontId="21" fillId="0" borderId="0" xfId="1" applyNumberFormat="1" applyFont="1"/>
    <xf numFmtId="164" fontId="22" fillId="0" borderId="0" xfId="1" applyFont="1"/>
    <xf numFmtId="0" fontId="23" fillId="0" borderId="0" xfId="0" applyFont="1" applyFill="1" applyBorder="1" applyAlignment="1" applyProtection="1">
      <alignment horizontal="center"/>
    </xf>
    <xf numFmtId="165" fontId="23" fillId="0" borderId="0" xfId="0" applyNumberFormat="1" applyFont="1" applyFill="1" applyBorder="1" applyAlignment="1" applyProtection="1">
      <alignment horizontal="right"/>
    </xf>
    <xf numFmtId="14" fontId="21" fillId="0" borderId="0" xfId="0" applyNumberFormat="1" applyFont="1" applyBorder="1" applyAlignment="1">
      <alignment horizontal="right"/>
    </xf>
    <xf numFmtId="0" fontId="24" fillId="0" borderId="0" xfId="0" applyFont="1"/>
    <xf numFmtId="0" fontId="25" fillId="0" borderId="0" xfId="0" applyFont="1" applyAlignment="1" applyProtection="1">
      <alignment horizontal="left"/>
    </xf>
    <xf numFmtId="0" fontId="26" fillId="0" borderId="0" xfId="0" applyFont="1" applyFill="1" applyBorder="1" applyAlignment="1">
      <alignment horizontal="center"/>
    </xf>
    <xf numFmtId="0" fontId="16" fillId="0" borderId="1" xfId="0" applyFont="1" applyFill="1" applyBorder="1" applyAlignment="1">
      <alignment horizontal="center"/>
    </xf>
    <xf numFmtId="0" fontId="16" fillId="0" borderId="2" xfId="0" applyFont="1" applyFill="1" applyBorder="1" applyAlignment="1">
      <alignment horizontal="center"/>
    </xf>
    <xf numFmtId="0" fontId="16" fillId="0" borderId="1" xfId="0" applyFont="1" applyFill="1" applyBorder="1" applyAlignment="1" applyProtection="1">
      <alignment horizontal="center"/>
    </xf>
    <xf numFmtId="0" fontId="16" fillId="0" borderId="3" xfId="0" applyFont="1" applyFill="1" applyBorder="1" applyAlignment="1" applyProtection="1">
      <alignment horizontal="center"/>
    </xf>
    <xf numFmtId="0" fontId="16" fillId="0" borderId="4" xfId="0" applyFont="1" applyFill="1" applyBorder="1" applyAlignment="1" applyProtection="1">
      <alignment horizontal="center"/>
    </xf>
    <xf numFmtId="0" fontId="26" fillId="0" borderId="1" xfId="0" quotePrefix="1" applyFont="1" applyFill="1" applyBorder="1" applyAlignment="1">
      <alignment horizontal="center"/>
    </xf>
    <xf numFmtId="0" fontId="16" fillId="0" borderId="1" xfId="0" quotePrefix="1" applyFont="1" applyFill="1" applyBorder="1" applyAlignment="1">
      <alignment horizontal="center"/>
    </xf>
    <xf numFmtId="0" fontId="24" fillId="0" borderId="1" xfId="0" applyFont="1" applyFill="1" applyBorder="1" applyAlignment="1">
      <alignment horizontal="center"/>
    </xf>
    <xf numFmtId="0" fontId="26" fillId="0" borderId="2" xfId="0" quotePrefix="1" applyFont="1" applyFill="1" applyBorder="1" applyAlignment="1">
      <alignment horizontal="center"/>
    </xf>
    <xf numFmtId="0" fontId="29" fillId="0" borderId="5" xfId="0" applyFont="1" applyFill="1" applyBorder="1" applyAlignment="1" applyProtection="1"/>
    <xf numFmtId="164" fontId="30" fillId="0" borderId="6" xfId="1" applyFont="1" applyBorder="1"/>
    <xf numFmtId="39" fontId="16" fillId="0" borderId="6" xfId="0" applyNumberFormat="1" applyFont="1" applyFill="1" applyBorder="1" applyProtection="1"/>
    <xf numFmtId="39" fontId="31" fillId="0" borderId="6" xfId="0" applyNumberFormat="1" applyFont="1" applyFill="1" applyBorder="1" applyProtection="1"/>
    <xf numFmtId="39" fontId="31" fillId="0" borderId="7" xfId="0" applyNumberFormat="1" applyFont="1" applyFill="1" applyBorder="1" applyProtection="1"/>
    <xf numFmtId="39" fontId="16" fillId="0" borderId="8" xfId="0" applyNumberFormat="1" applyFont="1" applyFill="1" applyBorder="1" applyProtection="1"/>
    <xf numFmtId="39" fontId="16" fillId="0" borderId="9" xfId="0" applyNumberFormat="1" applyFont="1" applyFill="1" applyBorder="1" applyProtection="1"/>
    <xf numFmtId="0" fontId="29" fillId="0" borderId="10" xfId="0" applyFont="1" applyFill="1" applyBorder="1" applyAlignment="1" applyProtection="1"/>
    <xf numFmtId="39" fontId="16" fillId="0" borderId="11" xfId="0" applyNumberFormat="1" applyFont="1" applyFill="1" applyBorder="1" applyProtection="1"/>
    <xf numFmtId="39" fontId="16" fillId="0" borderId="12" xfId="0" applyNumberFormat="1" applyFont="1" applyFill="1" applyBorder="1" applyProtection="1"/>
    <xf numFmtId="39" fontId="16" fillId="0" borderId="13" xfId="0" applyNumberFormat="1" applyFont="1" applyFill="1" applyBorder="1" applyProtection="1"/>
    <xf numFmtId="39" fontId="16" fillId="0" borderId="3" xfId="0" applyNumberFormat="1" applyFont="1" applyFill="1" applyBorder="1" applyProtection="1"/>
    <xf numFmtId="0" fontId="31" fillId="0" borderId="14" xfId="0" applyFont="1" applyFill="1" applyBorder="1" applyAlignment="1" applyProtection="1"/>
    <xf numFmtId="164" fontId="30" fillId="0" borderId="15" xfId="1" applyFont="1" applyBorder="1"/>
    <xf numFmtId="39" fontId="31" fillId="0" borderId="15" xfId="0" applyNumberFormat="1" applyFont="1" applyFill="1" applyBorder="1" applyProtection="1"/>
    <xf numFmtId="39" fontId="31" fillId="0" borderId="16" xfId="0" applyNumberFormat="1" applyFont="1" applyFill="1" applyBorder="1" applyProtection="1"/>
    <xf numFmtId="164" fontId="30" fillId="0" borderId="11" xfId="1" applyFont="1" applyBorder="1"/>
    <xf numFmtId="39" fontId="31" fillId="0" borderId="17" xfId="0" applyNumberFormat="1" applyFont="1" applyFill="1" applyBorder="1" applyProtection="1"/>
    <xf numFmtId="39" fontId="31" fillId="0" borderId="18" xfId="0" applyNumberFormat="1" applyFont="1" applyFill="1" applyBorder="1" applyProtection="1"/>
    <xf numFmtId="166" fontId="31" fillId="0" borderId="1" xfId="0" applyNumberFormat="1" applyFont="1" applyFill="1" applyBorder="1" applyProtection="1"/>
    <xf numFmtId="166" fontId="31" fillId="0" borderId="3" xfId="0" applyNumberFormat="1" applyFont="1" applyFill="1" applyBorder="1" applyProtection="1"/>
    <xf numFmtId="0" fontId="31" fillId="0" borderId="19" xfId="0" applyFont="1" applyFill="1" applyBorder="1" applyAlignment="1" applyProtection="1"/>
    <xf numFmtId="39" fontId="31" fillId="0" borderId="11" xfId="0" applyNumberFormat="1" applyFont="1" applyFill="1" applyBorder="1" applyProtection="1"/>
    <xf numFmtId="39" fontId="31" fillId="0" borderId="12" xfId="0" applyNumberFormat="1" applyFont="1" applyFill="1" applyBorder="1" applyProtection="1"/>
    <xf numFmtId="39" fontId="31" fillId="0" borderId="20" xfId="0" applyNumberFormat="1" applyFont="1" applyFill="1" applyBorder="1" applyProtection="1"/>
    <xf numFmtId="39" fontId="31" fillId="0" borderId="13" xfId="0" applyNumberFormat="1" applyFont="1" applyFill="1" applyBorder="1" applyProtection="1"/>
    <xf numFmtId="166" fontId="31" fillId="0" borderId="12" xfId="0" applyNumberFormat="1" applyFont="1" applyFill="1" applyBorder="1" applyProtection="1"/>
    <xf numFmtId="0" fontId="29" fillId="0" borderId="19" xfId="0" applyFont="1" applyFill="1" applyBorder="1" applyAlignment="1" applyProtection="1"/>
    <xf numFmtId="39" fontId="16" fillId="0" borderId="15" xfId="0" applyNumberFormat="1" applyFont="1" applyFill="1" applyBorder="1" applyProtection="1"/>
    <xf numFmtId="39" fontId="16" fillId="0" borderId="1" xfId="0" applyNumberFormat="1" applyFont="1" applyFill="1" applyBorder="1" applyProtection="1"/>
    <xf numFmtId="39" fontId="30" fillId="0" borderId="11" xfId="0" applyNumberFormat="1" applyFont="1" applyFill="1" applyBorder="1" applyProtection="1"/>
    <xf numFmtId="39" fontId="30" fillId="0" borderId="11" xfId="0" applyNumberFormat="1" applyFont="1" applyBorder="1"/>
    <xf numFmtId="0" fontId="16" fillId="0" borderId="19" xfId="0" applyFont="1" applyFill="1" applyBorder="1" applyAlignment="1" applyProtection="1"/>
    <xf numFmtId="39" fontId="24" fillId="0" borderId="11" xfId="0" applyNumberFormat="1" applyFont="1" applyBorder="1"/>
    <xf numFmtId="39" fontId="24" fillId="0" borderId="1" xfId="0" applyNumberFormat="1" applyFont="1" applyBorder="1"/>
    <xf numFmtId="39" fontId="24" fillId="0" borderId="3" xfId="0" applyNumberFormat="1" applyFont="1" applyBorder="1"/>
    <xf numFmtId="166" fontId="16" fillId="0" borderId="3" xfId="0" applyNumberFormat="1" applyFont="1" applyFill="1" applyBorder="1" applyProtection="1"/>
    <xf numFmtId="166" fontId="30" fillId="0" borderId="11" xfId="0" applyNumberFormat="1" applyFont="1" applyFill="1" applyBorder="1" applyProtection="1"/>
    <xf numFmtId="166" fontId="31" fillId="0" borderId="11" xfId="0" applyNumberFormat="1" applyFont="1" applyFill="1" applyBorder="1" applyProtection="1"/>
    <xf numFmtId="0" fontId="22" fillId="0" borderId="19" xfId="0" applyFont="1" applyFill="1" applyBorder="1"/>
    <xf numFmtId="39" fontId="31" fillId="0" borderId="11" xfId="0" applyNumberFormat="1" applyFont="1" applyFill="1" applyBorder="1" applyAlignment="1" applyProtection="1">
      <alignment horizontal="right"/>
    </xf>
    <xf numFmtId="164" fontId="24" fillId="0" borderId="11" xfId="1" applyFont="1" applyBorder="1"/>
    <xf numFmtId="39" fontId="24" fillId="0" borderId="11" xfId="0" applyNumberFormat="1" applyFont="1" applyFill="1" applyBorder="1"/>
    <xf numFmtId="39" fontId="24" fillId="0" borderId="13" xfId="0" applyNumberFormat="1" applyFont="1" applyFill="1" applyBorder="1"/>
    <xf numFmtId="39" fontId="24" fillId="0" borderId="1" xfId="0" applyNumberFormat="1" applyFont="1" applyFill="1" applyBorder="1"/>
    <xf numFmtId="0" fontId="30" fillId="0" borderId="19" xfId="0" applyFont="1" applyBorder="1"/>
    <xf numFmtId="39" fontId="32" fillId="0" borderId="11" xfId="0" applyNumberFormat="1" applyFont="1" applyFill="1" applyBorder="1" applyProtection="1"/>
    <xf numFmtId="39" fontId="31" fillId="0" borderId="3" xfId="0" applyNumberFormat="1" applyFont="1" applyFill="1" applyBorder="1" applyProtection="1"/>
    <xf numFmtId="39" fontId="31" fillId="0" borderId="21" xfId="0" applyNumberFormat="1" applyFont="1" applyFill="1" applyBorder="1" applyProtection="1"/>
    <xf numFmtId="166" fontId="31" fillId="0" borderId="2" xfId="0" applyNumberFormat="1" applyFont="1" applyFill="1" applyBorder="1" applyProtection="1"/>
    <xf numFmtId="0" fontId="16" fillId="0" borderId="22" xfId="0" applyFont="1" applyFill="1" applyBorder="1" applyAlignment="1" applyProtection="1"/>
    <xf numFmtId="164" fontId="24" fillId="0" borderId="23" xfId="1" applyFont="1" applyBorder="1"/>
    <xf numFmtId="39" fontId="31" fillId="0" borderId="23" xfId="0" applyNumberFormat="1" applyFont="1" applyFill="1" applyBorder="1" applyProtection="1"/>
    <xf numFmtId="166" fontId="31" fillId="0" borderId="23" xfId="0" applyNumberFormat="1" applyFont="1" applyFill="1" applyBorder="1" applyProtection="1"/>
    <xf numFmtId="166" fontId="31" fillId="0" borderId="0" xfId="0" applyNumberFormat="1" applyFont="1" applyFill="1" applyBorder="1" applyProtection="1"/>
    <xf numFmtId="0" fontId="16" fillId="0" borderId="1" xfId="0" applyFont="1" applyFill="1" applyBorder="1" applyAlignment="1" applyProtection="1">
      <alignment horizontal="right"/>
    </xf>
    <xf numFmtId="0" fontId="30" fillId="0" borderId="1" xfId="0" applyFont="1" applyFill="1" applyBorder="1"/>
    <xf numFmtId="39" fontId="30" fillId="0" borderId="0" xfId="0" applyNumberFormat="1" applyFont="1" applyFill="1" applyBorder="1"/>
    <xf numFmtId="2" fontId="18" fillId="0" borderId="0" xfId="0" applyNumberFormat="1" applyFont="1"/>
    <xf numFmtId="0" fontId="19" fillId="0" borderId="0" xfId="0" applyFont="1"/>
    <xf numFmtId="2" fontId="19" fillId="0" borderId="0" xfId="0" applyNumberFormat="1" applyFont="1"/>
    <xf numFmtId="39" fontId="20" fillId="0" borderId="10" xfId="0" applyNumberFormat="1" applyFont="1" applyFill="1" applyBorder="1" applyProtection="1"/>
    <xf numFmtId="39" fontId="18" fillId="0" borderId="0" xfId="0" applyNumberFormat="1" applyFont="1"/>
    <xf numFmtId="166" fontId="34" fillId="0" borderId="10" xfId="0" applyNumberFormat="1" applyFont="1" applyFill="1" applyBorder="1" applyProtection="1"/>
    <xf numFmtId="166" fontId="34" fillId="0" borderId="0" xfId="0" applyNumberFormat="1" applyFont="1" applyFill="1" applyBorder="1" applyProtection="1"/>
    <xf numFmtId="0" fontId="34" fillId="0" borderId="0" xfId="0" applyFont="1" applyFill="1" applyBorder="1" applyAlignment="1" applyProtection="1"/>
    <xf numFmtId="164" fontId="33" fillId="0" borderId="0" xfId="1" applyFont="1" applyBorder="1"/>
    <xf numFmtId="39" fontId="34" fillId="0" borderId="0" xfId="0" applyNumberFormat="1" applyFont="1" applyFill="1" applyBorder="1" applyProtection="1"/>
    <xf numFmtId="0" fontId="20" fillId="0" borderId="0" xfId="0" applyFont="1" applyFill="1" applyBorder="1" applyAlignment="1" applyProtection="1"/>
    <xf numFmtId="39" fontId="20" fillId="0" borderId="0" xfId="0" applyNumberFormat="1" applyFont="1" applyFill="1" applyBorder="1" applyProtection="1"/>
    <xf numFmtId="0" fontId="22" fillId="0" borderId="19" xfId="0" applyFont="1" applyBorder="1"/>
    <xf numFmtId="39" fontId="31" fillId="0" borderId="24" xfId="0" applyNumberFormat="1" applyFont="1" applyFill="1" applyBorder="1" applyProtection="1"/>
    <xf numFmtId="39" fontId="31" fillId="0" borderId="25" xfId="0" applyNumberFormat="1" applyFont="1" applyFill="1" applyBorder="1" applyProtection="1"/>
    <xf numFmtId="0" fontId="7" fillId="0" borderId="11" xfId="0" applyFont="1" applyBorder="1"/>
    <xf numFmtId="39" fontId="24" fillId="0" borderId="13" xfId="0" applyNumberFormat="1" applyFont="1" applyBorder="1"/>
    <xf numFmtId="164" fontId="24" fillId="0" borderId="13" xfId="1" applyFont="1" applyBorder="1"/>
    <xf numFmtId="164" fontId="22" fillId="0" borderId="11" xfId="1" applyFont="1" applyBorder="1"/>
    <xf numFmtId="0" fontId="22" fillId="0" borderId="26" xfId="0" applyFont="1" applyFill="1" applyBorder="1"/>
    <xf numFmtId="39" fontId="22" fillId="0" borderId="11" xfId="0" applyNumberFormat="1" applyFont="1" applyFill="1" applyBorder="1" applyProtection="1"/>
    <xf numFmtId="39" fontId="38" fillId="0" borderId="13" xfId="0" applyNumberFormat="1" applyFont="1" applyFill="1" applyBorder="1" applyProtection="1"/>
    <xf numFmtId="39" fontId="39" fillId="0" borderId="13" xfId="0" applyNumberFormat="1" applyFont="1" applyFill="1" applyBorder="1" applyProtection="1"/>
    <xf numFmtId="0" fontId="1" fillId="0" borderId="0" xfId="0" applyFont="1"/>
    <xf numFmtId="43" fontId="9" fillId="0" borderId="0" xfId="0" applyNumberFormat="1" applyFont="1"/>
    <xf numFmtId="43" fontId="39" fillId="0" borderId="0" xfId="0" applyNumberFormat="1" applyFont="1"/>
    <xf numFmtId="43" fontId="38" fillId="0" borderId="0" xfId="0" applyNumberFormat="1" applyFont="1"/>
    <xf numFmtId="164" fontId="40" fillId="0" borderId="0" xfId="1" applyFont="1"/>
    <xf numFmtId="164" fontId="41" fillId="0" borderId="0" xfId="1" applyFont="1"/>
    <xf numFmtId="164" fontId="42" fillId="0" borderId="0" xfId="1" applyFont="1"/>
    <xf numFmtId="43" fontId="43" fillId="0" borderId="0" xfId="0" applyNumberFormat="1" applyFont="1"/>
    <xf numFmtId="39" fontId="42" fillId="0" borderId="13" xfId="0" applyNumberFormat="1" applyFont="1" applyFill="1" applyBorder="1" applyProtection="1"/>
    <xf numFmtId="39" fontId="43" fillId="0" borderId="13" xfId="0" applyNumberFormat="1" applyFont="1" applyFill="1" applyBorder="1" applyProtection="1"/>
    <xf numFmtId="39" fontId="9" fillId="0" borderId="13" xfId="0" applyNumberFormat="1" applyFont="1" applyFill="1" applyBorder="1" applyProtection="1"/>
    <xf numFmtId="39" fontId="1" fillId="0" borderId="13" xfId="0" applyNumberFormat="1" applyFont="1" applyFill="1" applyBorder="1" applyProtection="1"/>
    <xf numFmtId="164" fontId="0" fillId="0" borderId="0" xfId="1" applyFont="1"/>
    <xf numFmtId="0" fontId="22" fillId="0" borderId="11" xfId="0" applyFont="1" applyBorder="1"/>
    <xf numFmtId="164" fontId="9" fillId="0" borderId="0" xfId="1" applyFont="1"/>
    <xf numFmtId="164" fontId="22" fillId="0" borderId="26" xfId="1" applyFont="1" applyFill="1" applyBorder="1"/>
    <xf numFmtId="0" fontId="28" fillId="0" borderId="1" xfId="0" applyFont="1" applyFill="1" applyBorder="1" applyAlignment="1" applyProtection="1"/>
    <xf numFmtId="0" fontId="23" fillId="0" borderId="0" xfId="0" applyFont="1" applyFill="1" applyBorder="1" applyAlignment="1" applyProtection="1">
      <alignment horizontal="center"/>
    </xf>
    <xf numFmtId="0" fontId="16" fillId="0" borderId="0" xfId="0" applyFont="1" applyFill="1" applyBorder="1" applyAlignment="1" applyProtection="1">
      <alignment horizontal="center"/>
    </xf>
    <xf numFmtId="0" fontId="27" fillId="0" borderId="0" xfId="0" applyFont="1" applyFill="1" applyBorder="1" applyAlignment="1">
      <alignment horizontal="center"/>
    </xf>
    <xf numFmtId="0" fontId="24" fillId="0" borderId="0" xfId="0" applyFont="1" applyFill="1" applyBorder="1" applyAlignment="1" applyProtection="1">
      <alignment horizontal="center"/>
    </xf>
  </cellXfs>
  <cellStyles count="2">
    <cellStyle name="Millares" xfId="1" builtinId="3"/>
    <cellStyle name="Normal" xfId="0" builtinId="0"/>
  </cellStyles>
  <dxfs count="0"/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1181100</xdr:colOff>
      <xdr:row>2</xdr:row>
      <xdr:rowOff>9525</xdr:rowOff>
    </xdr:from>
    <xdr:to>
      <xdr:col>3</xdr:col>
      <xdr:colOff>2276475</xdr:colOff>
      <xdr:row>5</xdr:row>
      <xdr:rowOff>209550</xdr:rowOff>
    </xdr:to>
    <xdr:pic>
      <xdr:nvPicPr>
        <xdr:cNvPr id="1284" name="Picture 4" descr="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943100" y="400050"/>
          <a:ext cx="1095375" cy="8858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A2:AR98"/>
  <sheetViews>
    <sheetView tabSelected="1" topLeftCell="C61" zoomScaleNormal="100" workbookViewId="0">
      <selection activeCell="J59" sqref="J59"/>
    </sheetView>
  </sheetViews>
  <sheetFormatPr baseColWidth="10" defaultRowHeight="12.75"/>
  <cols>
    <col min="1" max="2" width="0" hidden="1" customWidth="1"/>
    <col min="4" max="4" width="62.42578125" customWidth="1"/>
    <col min="5" max="5" width="24.42578125" customWidth="1"/>
    <col min="6" max="6" width="15.85546875" hidden="1" customWidth="1"/>
    <col min="7" max="7" width="0.140625" customWidth="1"/>
    <col min="8" max="8" width="27.85546875" customWidth="1"/>
    <col min="9" max="9" width="22.28515625" customWidth="1"/>
    <col min="10" max="10" width="18.7109375" customWidth="1"/>
    <col min="11" max="11" width="22.5703125" customWidth="1"/>
    <col min="12" max="12" width="11.42578125" hidden="1" customWidth="1"/>
    <col min="13" max="13" width="13.28515625" hidden="1" customWidth="1"/>
    <col min="14" max="14" width="14.42578125" hidden="1" customWidth="1"/>
    <col min="16" max="16" width="12.85546875" bestFit="1" customWidth="1"/>
    <col min="17" max="17" width="17.140625" customWidth="1"/>
    <col min="20" max="20" width="20.140625" customWidth="1"/>
  </cols>
  <sheetData>
    <row r="2" spans="1:20" ht="18">
      <c r="D2" s="52"/>
      <c r="E2" s="46"/>
      <c r="F2" s="46"/>
      <c r="G2" s="46"/>
      <c r="H2" s="46"/>
      <c r="I2" s="46"/>
      <c r="J2" s="46"/>
      <c r="K2" s="46"/>
      <c r="L2" s="46"/>
      <c r="M2" s="46"/>
      <c r="N2" s="46"/>
      <c r="O2" s="43"/>
      <c r="P2" s="43"/>
    </row>
    <row r="3" spans="1:20" ht="18">
      <c r="D3" s="46"/>
      <c r="E3" s="48"/>
      <c r="F3" s="48"/>
      <c r="G3" s="44"/>
      <c r="H3" s="46"/>
      <c r="I3" s="46"/>
      <c r="J3" s="46"/>
      <c r="K3" s="46"/>
      <c r="L3" s="46"/>
      <c r="M3" s="46"/>
      <c r="N3" s="46"/>
      <c r="O3" s="43"/>
      <c r="P3" s="43"/>
    </row>
    <row r="4" spans="1:20" ht="18">
      <c r="D4" s="46"/>
      <c r="E4" s="52" t="s">
        <v>129</v>
      </c>
      <c r="F4" s="48"/>
      <c r="G4" s="48"/>
      <c r="H4" s="46"/>
      <c r="I4" s="46"/>
      <c r="J4" s="46"/>
      <c r="K4" s="46"/>
      <c r="L4" s="46"/>
      <c r="M4" s="46"/>
      <c r="N4" s="46"/>
      <c r="O4" s="43"/>
      <c r="P4" s="43"/>
    </row>
    <row r="5" spans="1:20" ht="18">
      <c r="D5" s="42" t="s">
        <v>130</v>
      </c>
      <c r="E5" s="44"/>
      <c r="F5" s="44"/>
      <c r="G5" s="45"/>
      <c r="H5" s="46"/>
      <c r="I5" s="46"/>
      <c r="J5" s="46"/>
      <c r="K5" s="47"/>
      <c r="L5" s="46"/>
      <c r="M5" s="46"/>
      <c r="N5" s="46"/>
      <c r="O5" s="43"/>
      <c r="P5" s="43"/>
      <c r="T5" s="145" t="s">
        <v>156</v>
      </c>
    </row>
    <row r="6" spans="1:20" ht="18">
      <c r="D6" s="42" t="s">
        <v>131</v>
      </c>
      <c r="E6" s="48"/>
      <c r="F6" s="48"/>
      <c r="G6" s="45"/>
      <c r="H6" s="46"/>
      <c r="I6" s="46"/>
      <c r="J6" s="46"/>
      <c r="K6" s="46"/>
      <c r="L6" s="46"/>
      <c r="M6" s="46"/>
      <c r="N6" s="46"/>
      <c r="O6" s="43"/>
      <c r="P6" s="43"/>
      <c r="T6" s="149">
        <f>+Q14/3</f>
        <v>0</v>
      </c>
    </row>
    <row r="7" spans="1:20" ht="18">
      <c r="C7" s="17"/>
      <c r="D7" s="53"/>
      <c r="E7" s="162"/>
      <c r="F7" s="162"/>
      <c r="G7" s="162"/>
      <c r="H7" s="162"/>
      <c r="I7" s="162"/>
      <c r="J7" s="162"/>
      <c r="K7" s="162"/>
      <c r="L7" s="162"/>
      <c r="M7" s="162"/>
      <c r="N7" s="50"/>
      <c r="O7" s="43"/>
      <c r="P7" s="43"/>
      <c r="T7" s="150">
        <v>190157974.97999999</v>
      </c>
    </row>
    <row r="8" spans="1:20" ht="18">
      <c r="C8" s="17"/>
      <c r="D8" s="53"/>
      <c r="E8" s="163" t="s">
        <v>166</v>
      </c>
      <c r="F8" s="162"/>
      <c r="G8" s="162"/>
      <c r="H8" s="162"/>
      <c r="I8" s="162"/>
      <c r="J8" s="162"/>
      <c r="K8" s="162"/>
      <c r="L8" s="162"/>
      <c r="M8" s="162"/>
      <c r="N8" s="50">
        <v>38258.389251967594</v>
      </c>
      <c r="O8" s="43"/>
      <c r="P8" s="43"/>
      <c r="T8" s="151">
        <v>190157974.97999999</v>
      </c>
    </row>
    <row r="9" spans="1:20" ht="18">
      <c r="C9" s="17"/>
      <c r="D9" s="53"/>
      <c r="E9" s="49"/>
      <c r="F9" s="49"/>
      <c r="G9" s="49"/>
      <c r="H9" s="49"/>
      <c r="I9" s="49"/>
      <c r="J9" s="49"/>
      <c r="K9" s="51">
        <f ca="1">TODAY()</f>
        <v>44707</v>
      </c>
      <c r="L9" s="49"/>
      <c r="M9" s="49"/>
      <c r="N9" s="50"/>
      <c r="O9" s="43"/>
      <c r="P9" s="43"/>
      <c r="T9" s="159">
        <f>+Q14/3</f>
        <v>0</v>
      </c>
    </row>
    <row r="10" spans="1:20" ht="18">
      <c r="C10" s="17"/>
      <c r="D10" s="53"/>
      <c r="E10" s="54"/>
      <c r="F10" s="164" t="s">
        <v>0</v>
      </c>
      <c r="G10" s="164"/>
      <c r="H10" s="164"/>
      <c r="I10" s="165"/>
      <c r="J10" s="165"/>
      <c r="K10" s="165"/>
      <c r="L10" s="165"/>
      <c r="M10" s="165"/>
      <c r="N10" s="165"/>
      <c r="O10" s="43"/>
      <c r="P10" s="43"/>
      <c r="Q10" s="31" t="s">
        <v>155</v>
      </c>
    </row>
    <row r="11" spans="1:20" ht="18">
      <c r="C11" s="85"/>
      <c r="D11" s="32"/>
      <c r="E11" s="55" t="s">
        <v>2</v>
      </c>
      <c r="F11" s="56" t="s">
        <v>3</v>
      </c>
      <c r="G11" s="56" t="s">
        <v>4</v>
      </c>
      <c r="H11" s="55" t="s">
        <v>5</v>
      </c>
      <c r="I11" s="57" t="s">
        <v>6</v>
      </c>
      <c r="J11" s="57" t="s">
        <v>93</v>
      </c>
      <c r="K11" s="161" t="s">
        <v>77</v>
      </c>
      <c r="L11" s="161"/>
      <c r="M11" s="58"/>
      <c r="N11" s="58"/>
      <c r="O11" s="43"/>
      <c r="P11" s="43"/>
    </row>
    <row r="12" spans="1:20" ht="18">
      <c r="A12" s="2"/>
      <c r="B12" s="2"/>
      <c r="C12" s="20"/>
      <c r="D12" s="59" t="s">
        <v>7</v>
      </c>
      <c r="E12" s="60" t="s">
        <v>8</v>
      </c>
      <c r="F12" s="61" t="s">
        <v>9</v>
      </c>
      <c r="G12" s="61" t="s">
        <v>10</v>
      </c>
      <c r="H12" s="61"/>
      <c r="I12" s="60" t="s">
        <v>11</v>
      </c>
      <c r="J12" s="62"/>
      <c r="K12" s="55"/>
      <c r="L12" s="55"/>
      <c r="M12" s="63"/>
      <c r="N12" s="63"/>
      <c r="O12" s="43"/>
      <c r="P12" s="43"/>
    </row>
    <row r="13" spans="1:20" ht="18">
      <c r="A13" s="3"/>
      <c r="B13" s="3"/>
      <c r="C13" s="18" t="s">
        <v>95</v>
      </c>
      <c r="D13" s="64" t="s">
        <v>96</v>
      </c>
      <c r="E13" s="65"/>
      <c r="F13" s="66"/>
      <c r="G13" s="66"/>
      <c r="H13" s="65"/>
      <c r="I13" s="67"/>
      <c r="J13" s="67">
        <v>53433425.950000003</v>
      </c>
      <c r="K13" s="68">
        <f>+J13+I13</f>
        <v>53433425.950000003</v>
      </c>
      <c r="L13" s="69"/>
      <c r="M13" s="70"/>
      <c r="N13" s="70"/>
      <c r="O13" s="122"/>
      <c r="P13" s="43"/>
      <c r="Q13" s="143">
        <f>+K13/2</f>
        <v>26716712.975000001</v>
      </c>
      <c r="S13" s="145" t="s">
        <v>157</v>
      </c>
      <c r="T13" s="148">
        <f>+Q13+T9+Q25+Q62+Q30</f>
        <v>71941476.271499991</v>
      </c>
    </row>
    <row r="14" spans="1:20" ht="18">
      <c r="A14" s="3"/>
      <c r="B14" s="3"/>
      <c r="C14" s="18" t="s">
        <v>97</v>
      </c>
      <c r="D14" s="71" t="s">
        <v>98</v>
      </c>
      <c r="E14" s="72">
        <f>+E15+E16+E17+E18</f>
        <v>0</v>
      </c>
      <c r="F14" s="72">
        <v>16312115.470000001</v>
      </c>
      <c r="G14" s="73">
        <v>86011.71</v>
      </c>
      <c r="H14" s="72">
        <f>SUM(H15:H18)</f>
        <v>0</v>
      </c>
      <c r="I14" s="72">
        <f>SUM(I15:I18)</f>
        <v>0</v>
      </c>
      <c r="J14" s="72">
        <f>+J15+J16+J17+J18</f>
        <v>0</v>
      </c>
      <c r="K14" s="74">
        <f>SUM(K15:K18)</f>
        <v>0</v>
      </c>
      <c r="L14" s="69"/>
      <c r="M14" s="75"/>
      <c r="N14" s="75"/>
      <c r="O14" s="43"/>
      <c r="P14" s="122"/>
      <c r="Q14" s="155">
        <f>SUM(Q15:Q18)</f>
        <v>0</v>
      </c>
      <c r="S14" s="145" t="s">
        <v>158</v>
      </c>
      <c r="T14" s="152">
        <f>+T9+Q34+Q43+Q48+Q19+Q22+Q80</f>
        <v>185585191.75</v>
      </c>
    </row>
    <row r="15" spans="1:20" ht="18">
      <c r="A15" s="1"/>
      <c r="B15" s="1"/>
      <c r="C15" s="19"/>
      <c r="D15" s="76" t="s">
        <v>15</v>
      </c>
      <c r="E15" s="77"/>
      <c r="F15" s="78"/>
      <c r="G15" s="79"/>
      <c r="H15" s="80"/>
      <c r="I15" s="81"/>
      <c r="J15" s="78"/>
      <c r="K15" s="82">
        <f>+J15+I15</f>
        <v>0</v>
      </c>
      <c r="L15" s="83"/>
      <c r="M15" s="84"/>
      <c r="N15" s="84"/>
      <c r="O15" s="43"/>
      <c r="P15" s="43"/>
      <c r="Q15" s="156">
        <f>+K15/2</f>
        <v>0</v>
      </c>
      <c r="S15" s="145" t="s">
        <v>159</v>
      </c>
      <c r="T15" s="147">
        <f>+T9+Q56+Q57+Q58+Q59++Q60+Q61+Q63+Q71+Q74+Q81</f>
        <v>143617494.36500001</v>
      </c>
    </row>
    <row r="16" spans="1:20" ht="18">
      <c r="A16" s="1"/>
      <c r="B16" s="1"/>
      <c r="C16" s="19"/>
      <c r="D16" s="85" t="s">
        <v>16</v>
      </c>
      <c r="E16" s="80"/>
      <c r="F16" s="86"/>
      <c r="G16" s="87"/>
      <c r="H16" s="80"/>
      <c r="I16" s="88"/>
      <c r="J16" s="86"/>
      <c r="K16" s="89">
        <f t="shared" ref="K16:K24" si="0">+J16+I16</f>
        <v>0</v>
      </c>
      <c r="L16" s="83"/>
      <c r="M16" s="84"/>
      <c r="N16" s="84"/>
      <c r="O16" s="43"/>
      <c r="P16" s="43"/>
      <c r="Q16" s="156">
        <f>+K16/2</f>
        <v>0</v>
      </c>
      <c r="T16" s="146">
        <f>SUM(T13:T15)</f>
        <v>401144162.3865</v>
      </c>
    </row>
    <row r="17" spans="1:17" ht="18">
      <c r="A17" s="1"/>
      <c r="B17" s="1"/>
      <c r="C17" s="19"/>
      <c r="D17" s="85" t="s">
        <v>17</v>
      </c>
      <c r="E17" s="80"/>
      <c r="F17" s="86"/>
      <c r="G17" s="87"/>
      <c r="H17" s="80"/>
      <c r="I17" s="88"/>
      <c r="J17" s="86"/>
      <c r="K17" s="89">
        <f t="shared" si="0"/>
        <v>0</v>
      </c>
      <c r="L17" s="83"/>
      <c r="M17" s="84"/>
      <c r="N17" s="84"/>
      <c r="O17" s="43"/>
      <c r="P17" s="43"/>
      <c r="Q17" s="156">
        <f>+K17/2</f>
        <v>0</v>
      </c>
    </row>
    <row r="18" spans="1:17" ht="18">
      <c r="A18" s="1"/>
      <c r="B18" s="1"/>
      <c r="C18" s="38"/>
      <c r="D18" s="85" t="s">
        <v>18</v>
      </c>
      <c r="E18" s="80"/>
      <c r="F18" s="86"/>
      <c r="G18" s="90"/>
      <c r="H18" s="80"/>
      <c r="I18" s="88"/>
      <c r="J18" s="86"/>
      <c r="K18" s="89">
        <f t="shared" si="0"/>
        <v>0</v>
      </c>
      <c r="L18" s="83"/>
      <c r="M18" s="84"/>
      <c r="N18" s="84"/>
      <c r="O18" s="43"/>
      <c r="P18" s="43"/>
      <c r="Q18" s="156">
        <f>+K18/2</f>
        <v>0</v>
      </c>
    </row>
    <row r="19" spans="1:17" ht="18">
      <c r="A19" s="3"/>
      <c r="B19" s="3"/>
      <c r="C19" s="18" t="s">
        <v>99</v>
      </c>
      <c r="D19" s="91" t="s">
        <v>100</v>
      </c>
      <c r="E19" s="72">
        <f>SUM(E20:E21)</f>
        <v>0</v>
      </c>
      <c r="F19" s="72">
        <v>5354246.4000000004</v>
      </c>
      <c r="G19" s="72">
        <v>152005.14000000001</v>
      </c>
      <c r="H19" s="92">
        <f>SUM(H20:H21)</f>
        <v>0</v>
      </c>
      <c r="I19" s="72">
        <f>SUM(I20:I21)</f>
        <v>0</v>
      </c>
      <c r="J19" s="72">
        <f>SUM(J20:J21)</f>
        <v>115725371.02</v>
      </c>
      <c r="K19" s="74">
        <f>SUM(K20:K21)</f>
        <v>115725371.02</v>
      </c>
      <c r="L19" s="93"/>
      <c r="M19" s="75"/>
      <c r="N19" s="75"/>
      <c r="O19" s="43"/>
      <c r="P19" s="43"/>
      <c r="Q19" s="154">
        <f>SUM(Q20:Q21)</f>
        <v>57862685.509999998</v>
      </c>
    </row>
    <row r="20" spans="1:17" ht="18">
      <c r="A20" s="1"/>
      <c r="B20" s="1"/>
      <c r="C20" s="19"/>
      <c r="D20" s="85" t="s">
        <v>20</v>
      </c>
      <c r="E20" s="80"/>
      <c r="F20" s="86"/>
      <c r="G20" s="86"/>
      <c r="H20" s="80"/>
      <c r="I20" s="86"/>
      <c r="J20" s="86">
        <v>115657196.61</v>
      </c>
      <c r="K20" s="89">
        <f t="shared" si="0"/>
        <v>115657196.61</v>
      </c>
      <c r="L20" s="83"/>
      <c r="M20" s="84"/>
      <c r="N20" s="84"/>
      <c r="O20" s="43"/>
      <c r="P20" s="43"/>
      <c r="Q20" s="156">
        <f t="shared" ref="Q20:Q28" si="1">+K20/2</f>
        <v>57828598.305</v>
      </c>
    </row>
    <row r="21" spans="1:17" ht="18">
      <c r="A21" s="1"/>
      <c r="B21" s="1"/>
      <c r="C21" s="19"/>
      <c r="D21" s="85" t="s">
        <v>21</v>
      </c>
      <c r="E21" s="80"/>
      <c r="F21" s="86"/>
      <c r="G21" s="86"/>
      <c r="H21" s="80"/>
      <c r="I21" s="86"/>
      <c r="J21" s="86">
        <v>68174.41</v>
      </c>
      <c r="K21" s="89">
        <f t="shared" si="0"/>
        <v>68174.41</v>
      </c>
      <c r="L21" s="83"/>
      <c r="M21" s="84"/>
      <c r="N21" s="84"/>
      <c r="O21" s="43"/>
      <c r="P21" s="43"/>
      <c r="Q21" s="156">
        <f t="shared" si="1"/>
        <v>34087.205000000002</v>
      </c>
    </row>
    <row r="22" spans="1:17" ht="18">
      <c r="A22" s="1"/>
      <c r="B22" s="1"/>
      <c r="C22" s="18" t="s">
        <v>101</v>
      </c>
      <c r="D22" s="91" t="s">
        <v>102</v>
      </c>
      <c r="E22" s="72">
        <f>SUM(E23:E24)</f>
        <v>0</v>
      </c>
      <c r="F22" s="86"/>
      <c r="G22" s="86"/>
      <c r="H22" s="97">
        <f>SUM(H23:H25)</f>
        <v>0</v>
      </c>
      <c r="I22" s="72">
        <f>SUM(I23:I24)</f>
        <v>0</v>
      </c>
      <c r="J22" s="72">
        <f>SUM(J23:J24)</f>
        <v>12054978.620000001</v>
      </c>
      <c r="K22" s="74">
        <f>SUM(K23:K24)</f>
        <v>12054978.620000001</v>
      </c>
      <c r="L22" s="83"/>
      <c r="M22" s="84"/>
      <c r="N22" s="84"/>
      <c r="O22" s="43"/>
      <c r="P22" s="43"/>
      <c r="Q22" s="154">
        <f>SUM(Q23:Q24)</f>
        <v>6027489.3100000005</v>
      </c>
    </row>
    <row r="23" spans="1:17" ht="18">
      <c r="A23" s="1"/>
      <c r="B23" s="1"/>
      <c r="C23" s="19"/>
      <c r="D23" s="85" t="s">
        <v>22</v>
      </c>
      <c r="E23" s="80"/>
      <c r="F23" s="86"/>
      <c r="G23" s="86"/>
      <c r="H23" s="80"/>
      <c r="I23" s="86"/>
      <c r="J23" s="86">
        <v>7397736.8399999999</v>
      </c>
      <c r="K23" s="89">
        <f t="shared" si="0"/>
        <v>7397736.8399999999</v>
      </c>
      <c r="L23" s="83"/>
      <c r="M23" s="84"/>
      <c r="N23" s="84"/>
      <c r="O23" s="43"/>
      <c r="P23" s="43"/>
      <c r="Q23" s="156">
        <f t="shared" si="1"/>
        <v>3698868.42</v>
      </c>
    </row>
    <row r="24" spans="1:17" ht="18" customHeight="1">
      <c r="A24" s="1"/>
      <c r="B24" s="1"/>
      <c r="C24" s="19"/>
      <c r="D24" s="85" t="s">
        <v>23</v>
      </c>
      <c r="E24" s="80"/>
      <c r="F24" s="86"/>
      <c r="G24" s="86"/>
      <c r="H24" s="80"/>
      <c r="I24" s="86"/>
      <c r="J24" s="86">
        <v>4657241.78</v>
      </c>
      <c r="K24" s="89">
        <f t="shared" si="0"/>
        <v>4657241.78</v>
      </c>
      <c r="L24" s="83"/>
      <c r="M24" s="84"/>
      <c r="N24" s="84"/>
      <c r="O24" s="43"/>
      <c r="P24" s="43"/>
      <c r="Q24" s="156">
        <f t="shared" si="1"/>
        <v>2328620.89</v>
      </c>
    </row>
    <row r="25" spans="1:17" ht="18" customHeight="1">
      <c r="A25" s="4"/>
      <c r="B25" s="4"/>
      <c r="C25" s="18" t="s">
        <v>103</v>
      </c>
      <c r="D25" s="91" t="s">
        <v>104</v>
      </c>
      <c r="E25" s="72">
        <f>SUM(E26:E28)</f>
        <v>0</v>
      </c>
      <c r="F25" s="72">
        <v>6713488.5599999996</v>
      </c>
      <c r="G25" s="72">
        <f>SUM(G26:G28)</f>
        <v>0</v>
      </c>
      <c r="H25" s="97">
        <f>SUM(H26:H28)</f>
        <v>0</v>
      </c>
      <c r="I25" s="72">
        <f>SUM(I26:I28)</f>
        <v>0</v>
      </c>
      <c r="J25" s="72">
        <f>SUM(J26:J28)</f>
        <v>15472934.392999999</v>
      </c>
      <c r="K25" s="74">
        <f>SUM(K26:K28)</f>
        <v>15472934.392999999</v>
      </c>
      <c r="L25" s="93"/>
      <c r="M25" s="75"/>
      <c r="N25" s="75"/>
      <c r="O25" s="43"/>
      <c r="P25" s="43"/>
      <c r="Q25" s="143">
        <f>SUM(Q26:Q28)</f>
        <v>7736467.1964999996</v>
      </c>
    </row>
    <row r="26" spans="1:17" ht="18" customHeight="1">
      <c r="A26" s="1"/>
      <c r="B26" s="1"/>
      <c r="C26" s="18"/>
      <c r="D26" s="85" t="s">
        <v>44</v>
      </c>
      <c r="E26" s="80"/>
      <c r="F26" s="94"/>
      <c r="G26" s="94"/>
      <c r="H26" s="80"/>
      <c r="I26" s="80"/>
      <c r="J26" s="86">
        <v>9476155.5399999991</v>
      </c>
      <c r="K26" s="89">
        <f>+J26+I26</f>
        <v>9476155.5399999991</v>
      </c>
      <c r="L26" s="93"/>
      <c r="M26" s="75"/>
      <c r="N26" s="75"/>
      <c r="O26" s="43"/>
      <c r="P26" s="43"/>
      <c r="Q26" s="156">
        <f t="shared" si="1"/>
        <v>4738077.7699999996</v>
      </c>
    </row>
    <row r="27" spans="1:17" ht="18" customHeight="1">
      <c r="A27" s="1"/>
      <c r="B27" s="1"/>
      <c r="C27" s="18"/>
      <c r="D27" s="103" t="s">
        <v>143</v>
      </c>
      <c r="E27" s="80"/>
      <c r="F27" s="94"/>
      <c r="G27" s="94"/>
      <c r="H27" s="80"/>
      <c r="I27" s="80"/>
      <c r="J27" s="86">
        <v>1958901.53</v>
      </c>
      <c r="K27" s="89">
        <f>+J27+I27</f>
        <v>1958901.53</v>
      </c>
      <c r="L27" s="93"/>
      <c r="M27" s="75"/>
      <c r="N27" s="75"/>
      <c r="O27" s="43"/>
      <c r="P27" s="43"/>
      <c r="Q27" s="156">
        <f t="shared" si="1"/>
        <v>979450.76500000001</v>
      </c>
    </row>
    <row r="28" spans="1:17" ht="18" customHeight="1">
      <c r="A28" s="1"/>
      <c r="B28" s="1"/>
      <c r="C28" s="18"/>
      <c r="D28" s="85" t="s">
        <v>105</v>
      </c>
      <c r="E28" s="142"/>
      <c r="F28" s="94"/>
      <c r="G28" s="94"/>
      <c r="H28" s="80"/>
      <c r="I28" s="94"/>
      <c r="J28" s="95">
        <v>4037877.3229999999</v>
      </c>
      <c r="K28" s="89">
        <f>+J28+I28</f>
        <v>4037877.3229999999</v>
      </c>
      <c r="L28" s="93"/>
      <c r="M28" s="75"/>
      <c r="N28" s="75"/>
      <c r="O28" s="43"/>
      <c r="P28" s="43"/>
      <c r="Q28" s="156">
        <f t="shared" si="1"/>
        <v>2018938.6614999999</v>
      </c>
    </row>
    <row r="29" spans="1:17" ht="18" customHeight="1">
      <c r="A29" s="1"/>
      <c r="B29" s="1"/>
      <c r="C29" s="18"/>
      <c r="D29" s="91" t="s">
        <v>106</v>
      </c>
      <c r="E29" s="72"/>
      <c r="F29" s="72"/>
      <c r="G29" s="72"/>
      <c r="H29" s="72"/>
      <c r="I29" s="72"/>
      <c r="J29" s="72"/>
      <c r="K29" s="74"/>
      <c r="L29" s="93"/>
      <c r="M29" s="75"/>
      <c r="N29" s="75"/>
      <c r="O29" s="43"/>
      <c r="P29" s="43"/>
      <c r="Q29" s="155"/>
    </row>
    <row r="30" spans="1:17" ht="18">
      <c r="A30" s="1"/>
      <c r="B30" s="1"/>
      <c r="C30" s="18" t="s">
        <v>107</v>
      </c>
      <c r="D30" s="91" t="s">
        <v>33</v>
      </c>
      <c r="E30" s="97">
        <f>SUM(E31:E33)</f>
        <v>0</v>
      </c>
      <c r="F30" s="97">
        <f>+F31+F32+F33</f>
        <v>0</v>
      </c>
      <c r="G30" s="97">
        <f>+G31+G32+G33</f>
        <v>0</v>
      </c>
      <c r="H30" s="97">
        <f>SUM(H31:H33)</f>
        <v>0</v>
      </c>
      <c r="I30" s="97">
        <f>SUM(I31:I33)</f>
        <v>0</v>
      </c>
      <c r="J30" s="97">
        <f>SUM(J31:J33)</f>
        <v>69976592.200000003</v>
      </c>
      <c r="K30" s="97">
        <f>SUM(K31:K33)</f>
        <v>69976592.200000003</v>
      </c>
      <c r="L30" s="98"/>
      <c r="M30" s="99"/>
      <c r="N30" s="100"/>
      <c r="O30" s="43"/>
      <c r="P30" s="43"/>
      <c r="Q30" s="143">
        <f>SUM(Q31:Q33)</f>
        <v>34988296.100000001</v>
      </c>
    </row>
    <row r="31" spans="1:17" ht="18">
      <c r="A31" s="1"/>
      <c r="B31" s="1"/>
      <c r="C31" s="39"/>
      <c r="D31" s="158" t="s">
        <v>162</v>
      </c>
      <c r="E31" s="142"/>
      <c r="F31" s="94"/>
      <c r="G31" s="101"/>
      <c r="H31" s="80"/>
      <c r="I31" s="142"/>
      <c r="J31" s="86">
        <v>55601652.719999999</v>
      </c>
      <c r="K31" s="89">
        <f>+J31+I31</f>
        <v>55601652.719999999</v>
      </c>
      <c r="L31" s="83"/>
      <c r="M31" s="84"/>
      <c r="N31" s="84"/>
      <c r="O31" s="43"/>
      <c r="P31" s="43"/>
      <c r="Q31" s="156">
        <f t="shared" ref="Q31:Q52" si="2">+K31/2</f>
        <v>27800826.359999999</v>
      </c>
    </row>
    <row r="32" spans="1:17" ht="18">
      <c r="A32" s="1"/>
      <c r="B32" s="1"/>
      <c r="C32" s="39"/>
      <c r="D32" s="158" t="s">
        <v>163</v>
      </c>
      <c r="E32" s="94"/>
      <c r="F32" s="94"/>
      <c r="G32" s="101"/>
      <c r="H32" s="80"/>
      <c r="I32" s="94"/>
      <c r="J32" s="86">
        <v>13086962.960000001</v>
      </c>
      <c r="K32" s="89">
        <f>+J32+I32</f>
        <v>13086962.960000001</v>
      </c>
      <c r="L32" s="83"/>
      <c r="M32" s="84"/>
      <c r="N32" s="84"/>
      <c r="O32" s="43"/>
      <c r="P32" s="43"/>
      <c r="Q32" s="156">
        <f t="shared" si="2"/>
        <v>6543481.4800000004</v>
      </c>
    </row>
    <row r="33" spans="1:17" ht="18">
      <c r="A33" s="3"/>
      <c r="B33" s="3"/>
      <c r="C33" s="39"/>
      <c r="D33" s="158" t="s">
        <v>164</v>
      </c>
      <c r="E33" s="142"/>
      <c r="F33" s="94"/>
      <c r="G33" s="101"/>
      <c r="H33" s="80"/>
      <c r="I33" s="142"/>
      <c r="J33" s="86">
        <v>1287976.52</v>
      </c>
      <c r="K33" s="89">
        <f>+J33+I33</f>
        <v>1287976.52</v>
      </c>
      <c r="L33" s="83"/>
      <c r="M33" s="84"/>
      <c r="N33" s="84"/>
      <c r="O33" s="43"/>
      <c r="P33" s="43"/>
      <c r="Q33" s="156">
        <f t="shared" si="2"/>
        <v>643988.26</v>
      </c>
    </row>
    <row r="34" spans="1:17" ht="18.75">
      <c r="A34" s="4"/>
      <c r="B34" s="4"/>
      <c r="C34" s="18" t="s">
        <v>108</v>
      </c>
      <c r="D34" s="91" t="s">
        <v>39</v>
      </c>
      <c r="E34" s="97">
        <f>SUM(E35:E42)</f>
        <v>0</v>
      </c>
      <c r="F34" s="97">
        <v>2964539.61</v>
      </c>
      <c r="G34" s="102">
        <v>0</v>
      </c>
      <c r="H34" s="97">
        <f>SUM(H35:H42)</f>
        <v>0</v>
      </c>
      <c r="I34" s="97">
        <f>SUM(I35:I42)</f>
        <v>0</v>
      </c>
      <c r="J34" s="97">
        <f>SUM(J35:J42)</f>
        <v>124360263.02</v>
      </c>
      <c r="K34" s="97">
        <f>SUM(K35:K42)</f>
        <v>124360263.02</v>
      </c>
      <c r="L34" s="98"/>
      <c r="M34" s="99"/>
      <c r="N34" s="99"/>
      <c r="O34" s="123"/>
      <c r="P34" s="43"/>
      <c r="Q34" s="154">
        <f>SUM(Q35:Q41)</f>
        <v>61242431.899999999</v>
      </c>
    </row>
    <row r="35" spans="1:17" ht="18">
      <c r="A35" s="4" t="s">
        <v>34</v>
      </c>
      <c r="B35" s="6" t="s">
        <v>35</v>
      </c>
      <c r="C35" s="19"/>
      <c r="D35" s="103" t="s">
        <v>132</v>
      </c>
      <c r="E35" s="140"/>
      <c r="F35" s="86"/>
      <c r="G35" s="102"/>
      <c r="H35" s="80"/>
      <c r="I35" s="140"/>
      <c r="J35" s="86">
        <v>74956465.569999993</v>
      </c>
      <c r="K35" s="89">
        <f>+J35+I35</f>
        <v>74956465.569999993</v>
      </c>
      <c r="L35" s="83"/>
      <c r="M35" s="84"/>
      <c r="N35" s="84"/>
      <c r="O35" s="43"/>
      <c r="P35" s="43"/>
      <c r="Q35" s="156">
        <f t="shared" si="2"/>
        <v>37478232.784999996</v>
      </c>
    </row>
    <row r="36" spans="1:17" ht="18">
      <c r="A36" s="4" t="s">
        <v>34</v>
      </c>
      <c r="B36" s="6" t="s">
        <v>35</v>
      </c>
      <c r="C36" s="19"/>
      <c r="D36" s="103" t="s">
        <v>137</v>
      </c>
      <c r="E36" s="80"/>
      <c r="F36" s="86"/>
      <c r="G36" s="102"/>
      <c r="H36" s="80"/>
      <c r="I36" s="80"/>
      <c r="J36" s="135">
        <v>6306887.6399999997</v>
      </c>
      <c r="K36" s="136">
        <f>+J36+I36</f>
        <v>6306887.6399999997</v>
      </c>
      <c r="L36" s="83"/>
      <c r="M36" s="84"/>
      <c r="N36" s="84"/>
      <c r="O36" s="43"/>
      <c r="P36" s="43"/>
      <c r="Q36" s="156">
        <f t="shared" si="2"/>
        <v>3153443.82</v>
      </c>
    </row>
    <row r="37" spans="1:17" ht="18">
      <c r="A37" s="4"/>
      <c r="B37" s="6"/>
      <c r="C37" s="19"/>
      <c r="D37" s="103" t="s">
        <v>133</v>
      </c>
      <c r="E37" s="80"/>
      <c r="F37" s="86"/>
      <c r="G37" s="102"/>
      <c r="H37" s="80"/>
      <c r="I37" s="80"/>
      <c r="J37" s="104">
        <v>18991767.32</v>
      </c>
      <c r="K37" s="89">
        <f t="shared" ref="K37:K42" si="3">+I37+J37</f>
        <v>18991767.32</v>
      </c>
      <c r="L37" s="83"/>
      <c r="M37" s="84"/>
      <c r="N37" s="84"/>
      <c r="O37" s="43"/>
      <c r="P37" s="43"/>
      <c r="Q37" s="156">
        <f t="shared" si="2"/>
        <v>9495883.6600000001</v>
      </c>
    </row>
    <row r="38" spans="1:17" ht="18">
      <c r="A38" s="4"/>
      <c r="B38" s="4"/>
      <c r="C38" s="19"/>
      <c r="D38" s="103" t="s">
        <v>134</v>
      </c>
      <c r="E38" s="80"/>
      <c r="F38" s="86"/>
      <c r="G38" s="102"/>
      <c r="H38" s="80"/>
      <c r="I38" s="80"/>
      <c r="J38" s="86">
        <v>4605368.59</v>
      </c>
      <c r="K38" s="89">
        <f t="shared" si="3"/>
        <v>4605368.59</v>
      </c>
      <c r="L38" s="83"/>
      <c r="M38" s="84"/>
      <c r="N38" s="84"/>
      <c r="O38" s="43"/>
      <c r="P38" s="43"/>
      <c r="Q38" s="156">
        <f t="shared" si="2"/>
        <v>2302684.2949999999</v>
      </c>
    </row>
    <row r="39" spans="1:17" ht="18">
      <c r="A39" s="1"/>
      <c r="B39" s="6" t="s">
        <v>35</v>
      </c>
      <c r="C39" s="19"/>
      <c r="D39" s="103" t="s">
        <v>161</v>
      </c>
      <c r="E39" s="80"/>
      <c r="F39" s="86"/>
      <c r="G39" s="102"/>
      <c r="H39" s="80"/>
      <c r="I39" s="80"/>
      <c r="J39" s="86">
        <v>13880602.880000001</v>
      </c>
      <c r="K39" s="89">
        <f t="shared" si="3"/>
        <v>13880602.880000001</v>
      </c>
      <c r="L39" s="83"/>
      <c r="M39" s="84"/>
      <c r="N39" s="84"/>
      <c r="O39" s="43"/>
      <c r="P39" s="43"/>
      <c r="Q39" s="156">
        <f t="shared" si="2"/>
        <v>6940301.4400000004</v>
      </c>
    </row>
    <row r="40" spans="1:17" ht="18">
      <c r="A40" s="1"/>
      <c r="B40" s="6" t="s">
        <v>35</v>
      </c>
      <c r="C40" s="19"/>
      <c r="D40" s="103" t="s">
        <v>135</v>
      </c>
      <c r="E40" s="80"/>
      <c r="F40" s="86"/>
      <c r="G40" s="102"/>
      <c r="H40" s="80"/>
      <c r="I40" s="80"/>
      <c r="J40" s="86">
        <v>1597893</v>
      </c>
      <c r="K40" s="89">
        <f t="shared" si="3"/>
        <v>1597893</v>
      </c>
      <c r="L40" s="83"/>
      <c r="M40" s="84"/>
      <c r="N40" s="84"/>
      <c r="O40" s="43"/>
      <c r="P40" s="43"/>
      <c r="Q40" s="156">
        <f t="shared" si="2"/>
        <v>798946.5</v>
      </c>
    </row>
    <row r="41" spans="1:17" ht="18">
      <c r="A41" s="1"/>
      <c r="B41" s="6"/>
      <c r="C41" s="19"/>
      <c r="D41" s="103" t="s">
        <v>136</v>
      </c>
      <c r="E41" s="80"/>
      <c r="F41" s="86"/>
      <c r="G41" s="102"/>
      <c r="H41" s="80"/>
      <c r="I41" s="80"/>
      <c r="J41" s="86">
        <v>2145878.7999999998</v>
      </c>
      <c r="K41" s="89">
        <f t="shared" si="3"/>
        <v>2145878.7999999998</v>
      </c>
      <c r="L41" s="83"/>
      <c r="M41" s="84"/>
      <c r="N41" s="84"/>
      <c r="O41" s="43"/>
      <c r="P41" s="43"/>
      <c r="Q41" s="156">
        <f t="shared" si="2"/>
        <v>1072939.3999999999</v>
      </c>
    </row>
    <row r="42" spans="1:17" ht="18">
      <c r="A42" s="1"/>
      <c r="B42" s="6"/>
      <c r="C42" s="19"/>
      <c r="D42" s="141" t="s">
        <v>165</v>
      </c>
      <c r="E42" s="160"/>
      <c r="F42" s="86"/>
      <c r="G42" s="102"/>
      <c r="H42" s="80"/>
      <c r="I42" s="160"/>
      <c r="J42" s="86">
        <v>1875399.22</v>
      </c>
      <c r="K42" s="89">
        <f t="shared" si="3"/>
        <v>1875399.22</v>
      </c>
      <c r="L42" s="83"/>
      <c r="M42" s="84"/>
      <c r="N42" s="84"/>
      <c r="O42" s="43"/>
      <c r="P42" s="43"/>
      <c r="Q42" s="156"/>
    </row>
    <row r="43" spans="1:17" ht="18">
      <c r="A43" s="1"/>
      <c r="B43" s="6"/>
      <c r="C43" s="18" t="s">
        <v>108</v>
      </c>
      <c r="D43" s="91" t="s">
        <v>148</v>
      </c>
      <c r="E43" s="97">
        <f>SUM(E44:E47)</f>
        <v>0</v>
      </c>
      <c r="F43" s="86"/>
      <c r="G43" s="102"/>
      <c r="H43" s="97">
        <f>+H44+H45+H46+H47</f>
        <v>0</v>
      </c>
      <c r="I43" s="97">
        <f>+I44+I45+I46+I47</f>
        <v>0</v>
      </c>
      <c r="J43" s="97">
        <f>+J44+J45+J46+J47</f>
        <v>34713053</v>
      </c>
      <c r="K43" s="138">
        <f>SUM(K44:K47)</f>
        <v>34713053</v>
      </c>
      <c r="L43" s="83"/>
      <c r="M43" s="84"/>
      <c r="N43" s="84"/>
      <c r="O43" s="43"/>
      <c r="P43" s="43"/>
      <c r="Q43" s="154">
        <f>+K43/2</f>
        <v>17356526.5</v>
      </c>
    </row>
    <row r="44" spans="1:17" ht="18">
      <c r="A44" s="1"/>
      <c r="B44" s="6"/>
      <c r="C44" s="19"/>
      <c r="D44" s="103" t="s">
        <v>147</v>
      </c>
      <c r="E44" s="80"/>
      <c r="F44" s="86"/>
      <c r="G44" s="102"/>
      <c r="H44" s="80"/>
      <c r="I44" s="80"/>
      <c r="J44" s="86">
        <v>24958933.260000002</v>
      </c>
      <c r="K44" s="89">
        <f>+I44+J44</f>
        <v>24958933.260000002</v>
      </c>
      <c r="L44" s="83"/>
      <c r="M44" s="84"/>
      <c r="N44" s="84"/>
      <c r="O44" s="43"/>
      <c r="P44" s="43"/>
      <c r="Q44" s="156">
        <f>+K44/2</f>
        <v>12479466.630000001</v>
      </c>
    </row>
    <row r="45" spans="1:17" ht="18">
      <c r="A45" s="1"/>
      <c r="B45" s="6"/>
      <c r="C45" s="19"/>
      <c r="D45" s="103" t="s">
        <v>153</v>
      </c>
      <c r="E45" s="80"/>
      <c r="F45" s="86"/>
      <c r="G45" s="102"/>
      <c r="H45" s="80"/>
      <c r="I45" s="80"/>
      <c r="J45" s="86">
        <v>3345815.48</v>
      </c>
      <c r="K45" s="89">
        <f>+I45+J45</f>
        <v>3345815.48</v>
      </c>
      <c r="L45" s="83"/>
      <c r="M45" s="84"/>
      <c r="N45" s="84"/>
      <c r="O45" s="43"/>
      <c r="P45" s="43"/>
      <c r="Q45" s="156">
        <f>+K45/2</f>
        <v>1672907.74</v>
      </c>
    </row>
    <row r="46" spans="1:17" ht="18">
      <c r="A46" s="1"/>
      <c r="B46" s="6"/>
      <c r="C46" s="19"/>
      <c r="D46" s="103" t="s">
        <v>145</v>
      </c>
      <c r="E46" s="80"/>
      <c r="F46" s="86"/>
      <c r="G46" s="102"/>
      <c r="H46" s="80"/>
      <c r="I46" s="80"/>
      <c r="J46" s="86">
        <v>4361325.78</v>
      </c>
      <c r="K46" s="89">
        <f>+I46+J46</f>
        <v>4361325.78</v>
      </c>
      <c r="L46" s="83"/>
      <c r="M46" s="84"/>
      <c r="N46" s="84"/>
      <c r="O46" s="43"/>
      <c r="P46" s="43"/>
      <c r="Q46" s="156">
        <f t="shared" si="2"/>
        <v>2180662.89</v>
      </c>
    </row>
    <row r="47" spans="1:17" ht="18">
      <c r="A47" s="1"/>
      <c r="B47" s="6"/>
      <c r="C47" s="19"/>
      <c r="D47" s="103" t="s">
        <v>146</v>
      </c>
      <c r="E47" s="80"/>
      <c r="F47" s="86"/>
      <c r="G47" s="102"/>
      <c r="H47" s="80"/>
      <c r="I47" s="80"/>
      <c r="J47" s="86">
        <v>2046978.48</v>
      </c>
      <c r="K47" s="89">
        <f>+I47+J47</f>
        <v>2046978.48</v>
      </c>
      <c r="L47" s="83"/>
      <c r="M47" s="84"/>
      <c r="N47" s="84"/>
      <c r="O47" s="43"/>
      <c r="P47" s="43"/>
      <c r="Q47" s="156">
        <f t="shared" si="2"/>
        <v>1023489.24</v>
      </c>
    </row>
    <row r="48" spans="1:17" ht="18">
      <c r="A48" s="1"/>
      <c r="B48" s="6"/>
      <c r="C48" s="18" t="s">
        <v>108</v>
      </c>
      <c r="D48" s="91" t="s">
        <v>149</v>
      </c>
      <c r="E48" s="97">
        <f>SUM(E49:E52)</f>
        <v>0</v>
      </c>
      <c r="F48" s="86"/>
      <c r="G48" s="102"/>
      <c r="H48" s="97">
        <f>SUM(H49:H52)</f>
        <v>0</v>
      </c>
      <c r="I48" s="97">
        <f>SUM(I49:I52)</f>
        <v>0</v>
      </c>
      <c r="J48" s="97">
        <f>+J49+J50+J51+J52</f>
        <v>51738461.539999999</v>
      </c>
      <c r="K48" s="138">
        <f>SUM(K49:K51)</f>
        <v>43276923.079999998</v>
      </c>
      <c r="L48" s="83"/>
      <c r="M48" s="84"/>
      <c r="N48" s="84"/>
      <c r="O48" s="43"/>
      <c r="P48" s="43"/>
      <c r="Q48" s="154">
        <f>SUM(Q49:Q51)</f>
        <v>21638461.539999999</v>
      </c>
    </row>
    <row r="49" spans="1:17" ht="18">
      <c r="A49" s="1"/>
      <c r="B49" s="6"/>
      <c r="C49" s="19"/>
      <c r="D49" s="103" t="s">
        <v>150</v>
      </c>
      <c r="E49" s="80"/>
      <c r="F49" s="86"/>
      <c r="G49" s="102"/>
      <c r="H49" s="80"/>
      <c r="I49" s="80"/>
      <c r="J49" s="86">
        <v>29000000</v>
      </c>
      <c r="K49" s="89">
        <f>+I49+J49</f>
        <v>29000000</v>
      </c>
      <c r="L49" s="83"/>
      <c r="M49" s="84"/>
      <c r="N49" s="84"/>
      <c r="O49" s="43"/>
      <c r="P49" s="43"/>
      <c r="Q49" s="156">
        <f t="shared" si="2"/>
        <v>14500000</v>
      </c>
    </row>
    <row r="50" spans="1:17" ht="18">
      <c r="A50" s="1"/>
      <c r="B50" s="6"/>
      <c r="C50" s="19"/>
      <c r="D50" s="103" t="s">
        <v>151</v>
      </c>
      <c r="E50" s="80"/>
      <c r="F50" s="86"/>
      <c r="G50" s="102"/>
      <c r="H50" s="80"/>
      <c r="I50" s="80"/>
      <c r="J50" s="86">
        <v>10938461.539999999</v>
      </c>
      <c r="K50" s="89">
        <f>+I50+J50</f>
        <v>10938461.539999999</v>
      </c>
      <c r="L50" s="83"/>
      <c r="M50" s="84"/>
      <c r="N50" s="84"/>
      <c r="O50" s="43"/>
      <c r="P50" s="43"/>
      <c r="Q50" s="156">
        <f t="shared" si="2"/>
        <v>5469230.7699999996</v>
      </c>
    </row>
    <row r="51" spans="1:17" ht="18">
      <c r="A51" s="1"/>
      <c r="B51" s="6"/>
      <c r="C51" s="19"/>
      <c r="D51" s="103" t="s">
        <v>152</v>
      </c>
      <c r="E51" s="80"/>
      <c r="F51" s="86"/>
      <c r="G51" s="102"/>
      <c r="H51" s="80"/>
      <c r="I51" s="80"/>
      <c r="J51" s="86">
        <v>3338461.54</v>
      </c>
      <c r="K51" s="89">
        <f>+I51+J51</f>
        <v>3338461.54</v>
      </c>
      <c r="L51" s="83"/>
      <c r="M51" s="84"/>
      <c r="N51" s="84"/>
      <c r="O51" s="43"/>
      <c r="P51" s="43"/>
      <c r="Q51" s="156">
        <f t="shared" si="2"/>
        <v>1669230.77</v>
      </c>
    </row>
    <row r="52" spans="1:17" ht="18">
      <c r="A52" s="1"/>
      <c r="B52" s="6"/>
      <c r="C52" s="19"/>
      <c r="D52" s="103" t="s">
        <v>152</v>
      </c>
      <c r="E52" s="80"/>
      <c r="F52" s="86"/>
      <c r="G52" s="102"/>
      <c r="H52" s="80"/>
      <c r="I52" s="80"/>
      <c r="J52" s="86">
        <v>8461538.4600000009</v>
      </c>
      <c r="K52" s="89">
        <f>+I52+J52</f>
        <v>8461538.4600000009</v>
      </c>
      <c r="L52" s="83"/>
      <c r="M52" s="84"/>
      <c r="N52" s="84"/>
      <c r="O52" s="43"/>
      <c r="P52" s="43"/>
      <c r="Q52" s="156">
        <f t="shared" si="2"/>
        <v>4230769.2300000004</v>
      </c>
    </row>
    <row r="53" spans="1:17" ht="18">
      <c r="A53" s="1"/>
      <c r="B53" s="6" t="s">
        <v>35</v>
      </c>
      <c r="C53" s="19"/>
      <c r="D53" s="96" t="s">
        <v>109</v>
      </c>
      <c r="E53" s="105">
        <f>+E13+E14+E19+E22+E25+E30+E34+E43+E48</f>
        <v>0</v>
      </c>
      <c r="F53" s="86"/>
      <c r="G53" s="102"/>
      <c r="H53" s="105">
        <f>+H13+H14+H19+H22+H25+H30+H34+H43+H48</f>
        <v>0</v>
      </c>
      <c r="I53" s="105">
        <f>+I13+I14+I19+I22+I25+I30+I34+I43+I48</f>
        <v>0</v>
      </c>
      <c r="J53" s="105">
        <f>+J13+J14+J19+J22+J25+J30+J34+J43+J48</f>
        <v>477475079.74300003</v>
      </c>
      <c r="K53" s="139">
        <f>+K13+K14+K19+K22+K25+K30+K34+K43+K48</f>
        <v>469013541.28299999</v>
      </c>
      <c r="L53" s="83"/>
      <c r="M53" s="84"/>
      <c r="N53" s="84"/>
      <c r="O53" s="43"/>
      <c r="P53" s="43"/>
      <c r="Q53" s="155">
        <f>+Q13+Q14+Q19+Q22+Q25+Q30+Q34+Q43+Q48</f>
        <v>233569071.03150001</v>
      </c>
    </row>
    <row r="54" spans="1:17" ht="18">
      <c r="A54" s="1"/>
      <c r="B54" s="6" t="s">
        <v>35</v>
      </c>
      <c r="C54" s="21"/>
      <c r="D54" s="96" t="s">
        <v>45</v>
      </c>
      <c r="E54" s="106"/>
      <c r="F54" s="106"/>
      <c r="G54" s="106"/>
      <c r="H54" s="106"/>
      <c r="I54" s="106"/>
      <c r="J54" s="106"/>
      <c r="K54" s="107"/>
      <c r="L54" s="108"/>
      <c r="M54" s="108"/>
      <c r="N54" s="108"/>
      <c r="O54" s="43"/>
      <c r="P54" s="43"/>
      <c r="Q54" s="155"/>
    </row>
    <row r="55" spans="1:17" ht="18">
      <c r="A55" s="1"/>
      <c r="B55" s="6"/>
      <c r="C55" s="18" t="s">
        <v>110</v>
      </c>
      <c r="D55" s="91" t="s">
        <v>46</v>
      </c>
      <c r="E55" s="72">
        <f>SUM(E56:E62)</f>
        <v>0</v>
      </c>
      <c r="F55" s="72">
        <v>6410782.5999999996</v>
      </c>
      <c r="G55" s="72">
        <v>119.14</v>
      </c>
      <c r="H55" s="72">
        <f>SUM(H56:H62)</f>
        <v>0</v>
      </c>
      <c r="I55" s="72">
        <f>SUM(I56:I62)</f>
        <v>0</v>
      </c>
      <c r="J55" s="72">
        <f>SUM(J56:J62)</f>
        <v>213691403.89000002</v>
      </c>
      <c r="K55" s="74">
        <f>SUM(K56:K62)</f>
        <v>213691403.89000002</v>
      </c>
      <c r="L55" s="93"/>
      <c r="M55" s="75"/>
      <c r="N55" s="75"/>
      <c r="O55" s="43"/>
      <c r="P55" s="43"/>
      <c r="Q55" s="155">
        <f>SUM(Q56:Q62)</f>
        <v>106845701.94500001</v>
      </c>
    </row>
    <row r="56" spans="1:17" ht="18">
      <c r="A56" s="7"/>
      <c r="B56" s="7"/>
      <c r="C56" s="40"/>
      <c r="D56" s="85" t="s">
        <v>111</v>
      </c>
      <c r="E56" s="80"/>
      <c r="F56" s="94"/>
      <c r="G56" s="101"/>
      <c r="H56" s="80"/>
      <c r="I56" s="80"/>
      <c r="J56" s="86">
        <v>203460587.47</v>
      </c>
      <c r="K56" s="89">
        <f>+J56+I56</f>
        <v>203460587.47</v>
      </c>
      <c r="L56" s="83"/>
      <c r="M56" s="84"/>
      <c r="N56" s="84"/>
      <c r="O56" s="43"/>
      <c r="P56" s="43"/>
      <c r="Q56" s="153">
        <f t="shared" ref="Q56:Q81" si="4">+K56/2</f>
        <v>101730293.735</v>
      </c>
    </row>
    <row r="57" spans="1:17" ht="18">
      <c r="A57" s="8"/>
      <c r="B57" s="8"/>
      <c r="C57" s="40"/>
      <c r="D57" s="85" t="s">
        <v>112</v>
      </c>
      <c r="E57" s="80"/>
      <c r="F57" s="94"/>
      <c r="G57" s="101"/>
      <c r="H57" s="80"/>
      <c r="I57" s="80"/>
      <c r="J57" s="86">
        <v>3545738.63</v>
      </c>
      <c r="K57" s="89">
        <f>+J57+I57</f>
        <v>3545738.63</v>
      </c>
      <c r="L57" s="83"/>
      <c r="M57" s="84"/>
      <c r="N57" s="84"/>
      <c r="O57" s="43"/>
      <c r="P57" s="43"/>
      <c r="Q57" s="153">
        <f t="shared" si="4"/>
        <v>1772869.3149999999</v>
      </c>
    </row>
    <row r="58" spans="1:17" ht="18.75">
      <c r="A58" s="3"/>
      <c r="B58" s="3"/>
      <c r="C58" s="40"/>
      <c r="D58" s="85" t="s">
        <v>113</v>
      </c>
      <c r="E58" s="80"/>
      <c r="F58" s="86"/>
      <c r="G58" s="86"/>
      <c r="H58" s="80"/>
      <c r="I58" s="80"/>
      <c r="J58" s="86">
        <v>186679.15</v>
      </c>
      <c r="K58" s="89">
        <f>+J58+I58</f>
        <v>186679.15</v>
      </c>
      <c r="L58" s="83"/>
      <c r="M58" s="84"/>
      <c r="N58" s="84"/>
      <c r="O58" s="123"/>
      <c r="P58" s="43"/>
      <c r="Q58" s="153">
        <f t="shared" si="4"/>
        <v>93339.574999999997</v>
      </c>
    </row>
    <row r="59" spans="1:17" ht="18.75">
      <c r="A59" s="6"/>
      <c r="B59" s="6" t="s">
        <v>35</v>
      </c>
      <c r="C59" s="40"/>
      <c r="D59" s="85" t="s">
        <v>114</v>
      </c>
      <c r="E59" s="80"/>
      <c r="F59" s="94"/>
      <c r="G59" s="94"/>
      <c r="H59" s="80"/>
      <c r="I59" s="80"/>
      <c r="J59" s="86">
        <v>430082.98</v>
      </c>
      <c r="K59" s="89">
        <f>+J59+I59</f>
        <v>430082.98</v>
      </c>
      <c r="L59" s="83"/>
      <c r="M59" s="84"/>
      <c r="N59" s="84"/>
      <c r="O59" s="123"/>
      <c r="P59" s="43"/>
      <c r="Q59" s="153">
        <f t="shared" si="4"/>
        <v>215041.49</v>
      </c>
    </row>
    <row r="60" spans="1:17" ht="18.75">
      <c r="A60" s="4" t="s">
        <v>34</v>
      </c>
      <c r="B60" s="6"/>
      <c r="C60" s="40"/>
      <c r="D60" s="85" t="s">
        <v>115</v>
      </c>
      <c r="E60" s="80"/>
      <c r="F60" s="94"/>
      <c r="G60" s="101"/>
      <c r="H60" s="80"/>
      <c r="I60" s="80"/>
      <c r="J60" s="86">
        <v>611402.61</v>
      </c>
      <c r="K60" s="89">
        <f t="shared" ref="K60:K68" si="5">+J60+I60</f>
        <v>611402.61</v>
      </c>
      <c r="L60" s="83"/>
      <c r="M60" s="84"/>
      <c r="N60" s="84"/>
      <c r="O60" s="124"/>
      <c r="P60" s="43"/>
      <c r="Q60" s="153">
        <f t="shared" si="4"/>
        <v>305701.30499999999</v>
      </c>
    </row>
    <row r="61" spans="1:17" ht="18">
      <c r="A61" s="6"/>
      <c r="B61" s="6"/>
      <c r="C61" s="40"/>
      <c r="D61" s="85" t="s">
        <v>116</v>
      </c>
      <c r="E61" s="80"/>
      <c r="F61" s="94"/>
      <c r="G61" s="101"/>
      <c r="H61" s="80"/>
      <c r="I61" s="80"/>
      <c r="J61" s="86">
        <v>456913.05</v>
      </c>
      <c r="K61" s="89">
        <f t="shared" si="5"/>
        <v>456913.05</v>
      </c>
      <c r="L61" s="83"/>
      <c r="M61" s="84"/>
      <c r="N61" s="84"/>
      <c r="O61" s="43"/>
      <c r="P61" s="43"/>
      <c r="Q61" s="153">
        <f t="shared" si="4"/>
        <v>228456.52499999999</v>
      </c>
    </row>
    <row r="62" spans="1:17" ht="18">
      <c r="A62" s="6"/>
      <c r="B62" s="6"/>
      <c r="C62" s="40"/>
      <c r="D62" s="141" t="s">
        <v>154</v>
      </c>
      <c r="E62" s="80"/>
      <c r="F62" s="94"/>
      <c r="G62" s="101"/>
      <c r="H62" s="80"/>
      <c r="I62" s="80"/>
      <c r="J62" s="86">
        <v>5000000</v>
      </c>
      <c r="K62" s="89">
        <f t="shared" si="5"/>
        <v>5000000</v>
      </c>
      <c r="L62" s="83"/>
      <c r="M62" s="84"/>
      <c r="N62" s="84"/>
      <c r="O62" s="43"/>
      <c r="P62" s="43"/>
      <c r="Q62" s="143">
        <f t="shared" si="4"/>
        <v>2500000</v>
      </c>
    </row>
    <row r="63" spans="1:17" ht="18">
      <c r="A63" s="6"/>
      <c r="B63" s="6"/>
      <c r="C63" s="41" t="s">
        <v>117</v>
      </c>
      <c r="D63" s="91" t="s">
        <v>94</v>
      </c>
      <c r="E63" s="72">
        <f>SUM(E64:E70)</f>
        <v>0</v>
      </c>
      <c r="F63" s="86"/>
      <c r="G63" s="86"/>
      <c r="H63" s="72">
        <f>SUM(H64:H70)</f>
        <v>0</v>
      </c>
      <c r="I63" s="72">
        <f>SUM(I64:I70)</f>
        <v>0</v>
      </c>
      <c r="J63" s="72">
        <f>SUM(J64:J70)</f>
        <v>7356706.0199999996</v>
      </c>
      <c r="K63" s="74">
        <f>SUM(K64:K70)</f>
        <v>7356706.0199999996</v>
      </c>
      <c r="L63" s="83"/>
      <c r="M63" s="84"/>
      <c r="N63" s="84"/>
      <c r="O63" s="43"/>
      <c r="P63" s="43"/>
      <c r="Q63" s="144">
        <f>SUM(Q64:Q70)</f>
        <v>3678353.01</v>
      </c>
    </row>
    <row r="64" spans="1:17" ht="18">
      <c r="A64" s="6"/>
      <c r="B64" s="6"/>
      <c r="C64" s="22"/>
      <c r="D64" s="85" t="s">
        <v>118</v>
      </c>
      <c r="E64" s="80"/>
      <c r="F64" s="94"/>
      <c r="G64" s="94"/>
      <c r="H64" s="80"/>
      <c r="I64" s="80"/>
      <c r="J64" s="86">
        <v>1329511.1399999999</v>
      </c>
      <c r="K64" s="89">
        <f t="shared" si="5"/>
        <v>1329511.1399999999</v>
      </c>
      <c r="L64" s="83"/>
      <c r="M64" s="84"/>
      <c r="N64" s="84"/>
      <c r="O64" s="43"/>
      <c r="P64" s="43"/>
      <c r="Q64" s="156">
        <f t="shared" si="4"/>
        <v>664755.56999999995</v>
      </c>
    </row>
    <row r="65" spans="1:20" ht="18">
      <c r="A65" s="6"/>
      <c r="B65" s="6"/>
      <c r="C65" s="22"/>
      <c r="D65" s="109" t="s">
        <v>119</v>
      </c>
      <c r="E65" s="80"/>
      <c r="F65" s="94"/>
      <c r="G65" s="94"/>
      <c r="H65" s="80"/>
      <c r="I65" s="80"/>
      <c r="J65" s="86">
        <v>1680490.08</v>
      </c>
      <c r="K65" s="89">
        <f t="shared" si="5"/>
        <v>1680490.08</v>
      </c>
      <c r="L65" s="83"/>
      <c r="M65" s="84"/>
      <c r="N65" s="84"/>
      <c r="O65" s="122"/>
      <c r="P65" s="43"/>
      <c r="Q65" s="156">
        <f t="shared" si="4"/>
        <v>840245.04</v>
      </c>
    </row>
    <row r="66" spans="1:20" ht="18">
      <c r="C66" s="22"/>
      <c r="D66" s="109" t="s">
        <v>120</v>
      </c>
      <c r="E66" s="80"/>
      <c r="F66" s="94"/>
      <c r="G66" s="94"/>
      <c r="H66" s="80"/>
      <c r="I66" s="80"/>
      <c r="J66" s="86">
        <v>3239409.48</v>
      </c>
      <c r="K66" s="89">
        <f t="shared" si="5"/>
        <v>3239409.48</v>
      </c>
      <c r="L66" s="83"/>
      <c r="M66" s="84"/>
      <c r="N66" s="84"/>
      <c r="O66" s="43"/>
      <c r="P66" s="125"/>
      <c r="Q66" s="156">
        <f t="shared" si="4"/>
        <v>1619704.74</v>
      </c>
    </row>
    <row r="67" spans="1:20" ht="18">
      <c r="C67" s="22"/>
      <c r="D67" s="109" t="s">
        <v>121</v>
      </c>
      <c r="E67" s="80"/>
      <c r="F67" s="94"/>
      <c r="G67" s="94"/>
      <c r="H67" s="80"/>
      <c r="I67" s="80"/>
      <c r="J67" s="86">
        <v>433815.75</v>
      </c>
      <c r="K67" s="89">
        <f t="shared" si="5"/>
        <v>433815.75</v>
      </c>
      <c r="L67" s="83"/>
      <c r="M67" s="84"/>
      <c r="N67" s="84"/>
      <c r="O67" s="43"/>
      <c r="P67" s="43"/>
      <c r="Q67" s="156">
        <f t="shared" si="4"/>
        <v>216907.875</v>
      </c>
      <c r="T67" s="157"/>
    </row>
    <row r="68" spans="1:20" ht="18">
      <c r="C68" s="22"/>
      <c r="D68" s="109" t="s">
        <v>140</v>
      </c>
      <c r="E68" s="80"/>
      <c r="F68" s="94"/>
      <c r="G68" s="94"/>
      <c r="H68" s="80"/>
      <c r="I68" s="80"/>
      <c r="J68" s="86">
        <v>412775.95</v>
      </c>
      <c r="K68" s="89">
        <f t="shared" si="5"/>
        <v>412775.95</v>
      </c>
      <c r="L68" s="83"/>
      <c r="M68" s="84"/>
      <c r="N68" s="84"/>
      <c r="O68" s="43"/>
      <c r="P68" s="43"/>
      <c r="Q68" s="156">
        <f t="shared" si="4"/>
        <v>206387.97500000001</v>
      </c>
    </row>
    <row r="69" spans="1:20" ht="18">
      <c r="C69" s="22"/>
      <c r="D69" s="134" t="s">
        <v>141</v>
      </c>
      <c r="E69" s="80"/>
      <c r="F69" s="110"/>
      <c r="G69" s="110"/>
      <c r="H69" s="80"/>
      <c r="I69" s="80"/>
      <c r="J69" s="86">
        <v>50000</v>
      </c>
      <c r="K69" s="89">
        <f>+J69+I69</f>
        <v>50000</v>
      </c>
      <c r="L69" s="83"/>
      <c r="M69" s="84"/>
      <c r="N69" s="84"/>
      <c r="O69" s="43"/>
      <c r="P69" s="43"/>
      <c r="Q69" s="156">
        <f t="shared" si="4"/>
        <v>25000</v>
      </c>
    </row>
    <row r="70" spans="1:20" ht="18">
      <c r="C70" s="22"/>
      <c r="D70" s="103" t="s">
        <v>142</v>
      </c>
      <c r="E70" s="80"/>
      <c r="F70" s="110"/>
      <c r="G70" s="110"/>
      <c r="H70" s="80"/>
      <c r="I70" s="80"/>
      <c r="J70" s="86">
        <v>210703.62</v>
      </c>
      <c r="K70" s="89">
        <f>+J70+I70</f>
        <v>210703.62</v>
      </c>
      <c r="L70" s="83"/>
      <c r="M70" s="84"/>
      <c r="N70" s="84"/>
      <c r="O70" s="43"/>
      <c r="P70" s="43"/>
      <c r="Q70" s="156">
        <f t="shared" si="4"/>
        <v>105351.81</v>
      </c>
    </row>
    <row r="71" spans="1:20" ht="18">
      <c r="C71" s="41" t="s">
        <v>122</v>
      </c>
      <c r="D71" s="91" t="s">
        <v>123</v>
      </c>
      <c r="E71" s="72">
        <f>+E72+E73</f>
        <v>0</v>
      </c>
      <c r="F71" s="72">
        <v>2813285.48</v>
      </c>
      <c r="G71" s="72">
        <v>0</v>
      </c>
      <c r="H71" s="72">
        <f>+H72+H73</f>
        <v>0</v>
      </c>
      <c r="I71" s="72">
        <f>+I72+I73</f>
        <v>0</v>
      </c>
      <c r="J71" s="72">
        <f>+J72+J73</f>
        <v>0</v>
      </c>
      <c r="K71" s="74">
        <f>+K72+K73</f>
        <v>0</v>
      </c>
      <c r="L71" s="93">
        <v>0</v>
      </c>
      <c r="M71" s="93">
        <v>0</v>
      </c>
      <c r="N71" s="93">
        <v>2813285.48</v>
      </c>
      <c r="O71" s="43"/>
      <c r="P71" s="43"/>
      <c r="Q71" s="144">
        <f>SUM(Q72:Q73)</f>
        <v>0</v>
      </c>
    </row>
    <row r="72" spans="1:20" ht="18">
      <c r="C72" s="3"/>
      <c r="D72" s="85" t="s">
        <v>58</v>
      </c>
      <c r="E72" s="80"/>
      <c r="F72" s="94"/>
      <c r="G72" s="101"/>
      <c r="H72" s="80"/>
      <c r="I72" s="80"/>
      <c r="J72" s="86"/>
      <c r="K72" s="89">
        <f t="shared" ref="K72:K82" si="6">+J72+I72</f>
        <v>0</v>
      </c>
      <c r="L72" s="84">
        <v>0</v>
      </c>
      <c r="M72" s="84">
        <v>0</v>
      </c>
      <c r="N72" s="111">
        <v>1127885.75</v>
      </c>
      <c r="O72" s="43"/>
      <c r="P72" s="43"/>
      <c r="Q72" s="156">
        <f t="shared" si="4"/>
        <v>0</v>
      </c>
    </row>
    <row r="73" spans="1:20" ht="18.75">
      <c r="B73" s="3"/>
      <c r="C73" s="3"/>
      <c r="D73" s="85" t="s">
        <v>124</v>
      </c>
      <c r="E73" s="80"/>
      <c r="F73" s="94"/>
      <c r="G73" s="101"/>
      <c r="H73" s="80"/>
      <c r="I73" s="80"/>
      <c r="J73" s="86"/>
      <c r="K73" s="89">
        <f t="shared" si="6"/>
        <v>0</v>
      </c>
      <c r="L73" s="84">
        <v>0</v>
      </c>
      <c r="M73" s="84">
        <v>0</v>
      </c>
      <c r="N73" s="112">
        <v>1418441.62</v>
      </c>
      <c r="O73" s="123"/>
      <c r="P73" s="126"/>
      <c r="Q73" s="156">
        <f t="shared" si="4"/>
        <v>0</v>
      </c>
    </row>
    <row r="74" spans="1:20" ht="18.75">
      <c r="B74" s="6" t="s">
        <v>35</v>
      </c>
      <c r="C74" s="18" t="s">
        <v>125</v>
      </c>
      <c r="D74" s="91" t="s">
        <v>126</v>
      </c>
      <c r="E74" s="72">
        <f>+E75+E76+E77+E78</f>
        <v>0</v>
      </c>
      <c r="F74" s="72">
        <v>555246.67000000004</v>
      </c>
      <c r="G74" s="72">
        <v>0</v>
      </c>
      <c r="H74" s="72">
        <v>0</v>
      </c>
      <c r="I74" s="72">
        <f>+I75+I76+I77+I78</f>
        <v>0</v>
      </c>
      <c r="J74" s="72">
        <f>+J75+J76+J77+J78</f>
        <v>0</v>
      </c>
      <c r="K74" s="74">
        <f>+K75+K76+K77+K78</f>
        <v>0</v>
      </c>
      <c r="L74" s="93">
        <v>0</v>
      </c>
      <c r="M74" s="93">
        <v>0</v>
      </c>
      <c r="N74" s="93">
        <v>555246.67000000004</v>
      </c>
      <c r="O74" s="123"/>
      <c r="P74" s="127"/>
      <c r="Q74" s="144">
        <f>SUM(Q75:Q77)</f>
        <v>0</v>
      </c>
    </row>
    <row r="75" spans="1:20" ht="18.75">
      <c r="B75" s="6" t="s">
        <v>35</v>
      </c>
      <c r="C75" s="18"/>
      <c r="D75" s="85" t="s">
        <v>138</v>
      </c>
      <c r="E75" s="80"/>
      <c r="F75" s="94"/>
      <c r="G75" s="101"/>
      <c r="H75" s="80"/>
      <c r="I75" s="80"/>
      <c r="J75" s="86"/>
      <c r="K75" s="89">
        <f t="shared" si="6"/>
        <v>0</v>
      </c>
      <c r="L75" s="84">
        <v>0</v>
      </c>
      <c r="M75" s="84">
        <v>0</v>
      </c>
      <c r="N75" s="84">
        <v>385052.56</v>
      </c>
      <c r="O75" s="123"/>
      <c r="P75" s="122"/>
      <c r="Q75" s="156">
        <f t="shared" si="4"/>
        <v>0</v>
      </c>
    </row>
    <row r="76" spans="1:20" ht="18">
      <c r="C76" s="18"/>
      <c r="D76" s="85" t="s">
        <v>139</v>
      </c>
      <c r="E76" s="80"/>
      <c r="F76" s="94"/>
      <c r="G76" s="101"/>
      <c r="H76" s="80"/>
      <c r="I76" s="80"/>
      <c r="J76" s="86"/>
      <c r="K76" s="89">
        <f t="shared" si="6"/>
        <v>0</v>
      </c>
      <c r="L76" s="84">
        <v>0</v>
      </c>
      <c r="M76" s="111">
        <v>0</v>
      </c>
      <c r="N76" s="111">
        <v>46526.69</v>
      </c>
      <c r="O76" s="43"/>
      <c r="P76" s="43"/>
      <c r="Q76" s="156">
        <f t="shared" si="4"/>
        <v>0</v>
      </c>
    </row>
    <row r="77" spans="1:20" ht="18.75">
      <c r="A77" s="4"/>
      <c r="B77" s="6"/>
      <c r="C77" s="18"/>
      <c r="D77" s="85" t="s">
        <v>91</v>
      </c>
      <c r="E77" s="80"/>
      <c r="F77" s="94"/>
      <c r="G77" s="101"/>
      <c r="H77" s="80"/>
      <c r="I77" s="80"/>
      <c r="J77" s="86"/>
      <c r="K77" s="89">
        <f t="shared" si="6"/>
        <v>0</v>
      </c>
      <c r="L77" s="84"/>
      <c r="M77" s="84"/>
      <c r="N77" s="111"/>
      <c r="O77" s="123"/>
      <c r="P77" s="43"/>
      <c r="Q77" s="156">
        <f t="shared" si="4"/>
        <v>0</v>
      </c>
    </row>
    <row r="78" spans="1:20" ht="18.75">
      <c r="A78" s="4"/>
      <c r="B78" s="6"/>
      <c r="C78" s="18"/>
      <c r="D78" s="141" t="s">
        <v>160</v>
      </c>
      <c r="E78" s="80"/>
      <c r="F78" s="94"/>
      <c r="G78" s="101"/>
      <c r="H78" s="80"/>
      <c r="I78" s="80"/>
      <c r="J78" s="86"/>
      <c r="K78" s="89">
        <f t="shared" si="6"/>
        <v>0</v>
      </c>
      <c r="L78" s="84"/>
      <c r="M78" s="84"/>
      <c r="N78" s="111"/>
      <c r="O78" s="123"/>
      <c r="P78" s="43"/>
      <c r="Q78" s="156"/>
    </row>
    <row r="79" spans="1:20" ht="18.75">
      <c r="A79" s="4"/>
      <c r="B79" s="6"/>
      <c r="C79" s="18" t="s">
        <v>127</v>
      </c>
      <c r="D79" s="91" t="s">
        <v>69</v>
      </c>
      <c r="E79" s="72">
        <f>+E80+E81+E82</f>
        <v>0</v>
      </c>
      <c r="F79" s="72">
        <v>4861785.16</v>
      </c>
      <c r="G79" s="72">
        <v>0</v>
      </c>
      <c r="H79" s="72">
        <f>+H80+H81+H82</f>
        <v>0</v>
      </c>
      <c r="I79" s="72">
        <f>+I80+I81+I82</f>
        <v>0</v>
      </c>
      <c r="J79" s="72">
        <f>+J80+J81+J82</f>
        <v>114102072.79999998</v>
      </c>
      <c r="K79" s="72">
        <f>+K80+K81+K82</f>
        <v>114102072.79999998</v>
      </c>
      <c r="L79" s="93">
        <v>0</v>
      </c>
      <c r="M79" s="93">
        <v>9198283.540000001</v>
      </c>
      <c r="N79" s="93">
        <v>-1036498.38</v>
      </c>
      <c r="O79" s="123"/>
      <c r="P79" s="43"/>
      <c r="Q79" s="144">
        <f>SUM(Q80:Q81)</f>
        <v>57051036.399999991</v>
      </c>
    </row>
    <row r="80" spans="1:20" ht="18.75">
      <c r="A80" s="4"/>
      <c r="B80" s="6"/>
      <c r="C80" s="23"/>
      <c r="D80" s="85" t="s">
        <v>70</v>
      </c>
      <c r="E80" s="80"/>
      <c r="F80" s="94"/>
      <c r="G80" s="101"/>
      <c r="H80" s="80"/>
      <c r="I80" s="80"/>
      <c r="J80" s="94">
        <v>42915193.979999997</v>
      </c>
      <c r="K80" s="89">
        <f t="shared" si="6"/>
        <v>42915193.979999997</v>
      </c>
      <c r="L80" s="84">
        <v>0</v>
      </c>
      <c r="M80" s="111">
        <v>2752238.57</v>
      </c>
      <c r="N80" s="111">
        <v>-453624.53</v>
      </c>
      <c r="O80" s="123"/>
      <c r="P80" s="43"/>
      <c r="Q80" s="156">
        <f t="shared" si="4"/>
        <v>21457596.989999998</v>
      </c>
    </row>
    <row r="81" spans="1:44" ht="18.75">
      <c r="A81" s="4"/>
      <c r="B81" s="6"/>
      <c r="C81" s="23"/>
      <c r="D81" s="137" t="s">
        <v>144</v>
      </c>
      <c r="E81" s="80"/>
      <c r="F81" s="94"/>
      <c r="G81" s="101"/>
      <c r="H81" s="80"/>
      <c r="I81" s="80"/>
      <c r="J81" s="86">
        <v>71186878.819999993</v>
      </c>
      <c r="K81" s="89">
        <f t="shared" si="6"/>
        <v>71186878.819999993</v>
      </c>
      <c r="L81" s="113">
        <v>0</v>
      </c>
      <c r="M81" s="112">
        <v>2613571.2000000002</v>
      </c>
      <c r="N81" s="112">
        <v>-340400.08</v>
      </c>
      <c r="O81" s="123"/>
      <c r="P81" s="43"/>
      <c r="Q81" s="156">
        <f t="shared" si="4"/>
        <v>35593439.409999996</v>
      </c>
    </row>
    <row r="82" spans="1:44" ht="18.75">
      <c r="A82" s="4"/>
      <c r="B82" s="6"/>
      <c r="C82" s="23"/>
      <c r="D82" s="85"/>
      <c r="E82" s="80"/>
      <c r="F82" s="94"/>
      <c r="G82" s="101"/>
      <c r="H82" s="80"/>
      <c r="I82" s="94"/>
      <c r="J82" s="86"/>
      <c r="K82" s="89">
        <f t="shared" si="6"/>
        <v>0</v>
      </c>
      <c r="L82" s="113">
        <v>0</v>
      </c>
      <c r="M82" s="111">
        <v>3832473.77</v>
      </c>
      <c r="N82" s="111">
        <v>-532473.77</v>
      </c>
      <c r="O82" s="123"/>
      <c r="P82" s="43"/>
      <c r="Q82" s="155"/>
    </row>
    <row r="83" spans="1:44" ht="18.75">
      <c r="A83" s="3"/>
      <c r="B83" s="3"/>
      <c r="C83" s="23"/>
      <c r="D83" s="114" t="s">
        <v>128</v>
      </c>
      <c r="E83" s="115">
        <f>+E55+E63+E71+E74+E79</f>
        <v>0</v>
      </c>
      <c r="F83" s="116"/>
      <c r="G83" s="117"/>
      <c r="H83" s="115">
        <f>+H55+H63+H71+H74+H79</f>
        <v>0</v>
      </c>
      <c r="I83" s="115">
        <f>+I55+I63+I71+I74+I79</f>
        <v>0</v>
      </c>
      <c r="J83" s="115">
        <f>+J55+J63+J71+J74+J79</f>
        <v>335150182.71000004</v>
      </c>
      <c r="K83" s="115">
        <f>+K55+K63+K71+K74+K79</f>
        <v>335150182.71000004</v>
      </c>
      <c r="L83" s="118"/>
      <c r="M83" s="111"/>
      <c r="N83" s="111"/>
      <c r="O83" s="123"/>
      <c r="P83" s="43"/>
      <c r="Q83" s="156">
        <f>+Q55+Q63+Q71+Q74+Q79</f>
        <v>167575091.35500002</v>
      </c>
    </row>
    <row r="84" spans="1:44" ht="18.75">
      <c r="A84" s="4" t="s">
        <v>34</v>
      </c>
      <c r="B84" s="6" t="s">
        <v>35</v>
      </c>
      <c r="C84" s="3"/>
      <c r="D84" s="119" t="s">
        <v>51</v>
      </c>
      <c r="E84" s="93">
        <f>+E53+E83</f>
        <v>0</v>
      </c>
      <c r="F84" s="120"/>
      <c r="G84" s="120"/>
      <c r="H84" s="93">
        <f>+H53+H83</f>
        <v>0</v>
      </c>
      <c r="I84" s="93">
        <f>+I53+I83</f>
        <v>0</v>
      </c>
      <c r="J84" s="93">
        <f>+J53+J83</f>
        <v>812625262.45300007</v>
      </c>
      <c r="K84" s="93">
        <f>+K53+K83</f>
        <v>804163723.99300003</v>
      </c>
      <c r="L84" s="121"/>
      <c r="M84" s="93">
        <v>9387981.1100000013</v>
      </c>
      <c r="N84" s="93">
        <v>2320367.62</v>
      </c>
      <c r="O84" s="123"/>
      <c r="P84" s="43"/>
      <c r="Q84" s="156">
        <f>+Q53+Q83</f>
        <v>401144162.3865</v>
      </c>
    </row>
    <row r="85" spans="1:44" ht="18.75">
      <c r="A85" s="4" t="s">
        <v>34</v>
      </c>
      <c r="B85" s="6" t="s">
        <v>35</v>
      </c>
      <c r="C85" s="3"/>
      <c r="D85" s="129"/>
      <c r="E85" s="130"/>
      <c r="F85" s="131"/>
      <c r="G85" s="128"/>
      <c r="H85" s="128"/>
      <c r="I85" s="131"/>
      <c r="J85" s="131"/>
      <c r="K85" s="131"/>
      <c r="L85" s="128"/>
      <c r="M85" s="131"/>
      <c r="N85" s="131"/>
      <c r="O85" s="123"/>
      <c r="P85" s="43"/>
    </row>
    <row r="86" spans="1:44" ht="18.75">
      <c r="A86" s="4"/>
      <c r="B86" s="6" t="s">
        <v>35</v>
      </c>
      <c r="C86" s="3"/>
      <c r="D86" s="129"/>
      <c r="E86" s="130"/>
      <c r="F86" s="131"/>
      <c r="G86" s="128"/>
      <c r="H86" s="128"/>
      <c r="I86" s="9"/>
      <c r="J86" s="131"/>
      <c r="K86" s="34"/>
      <c r="L86" s="128"/>
      <c r="M86" s="128"/>
      <c r="N86" s="131"/>
      <c r="O86" s="123"/>
      <c r="P86" s="43"/>
    </row>
    <row r="87" spans="1:44" ht="18.75">
      <c r="A87" s="3"/>
      <c r="B87" s="3"/>
      <c r="C87" s="3"/>
      <c r="D87" s="132"/>
      <c r="E87" s="93">
        <f>+E84+J84</f>
        <v>812625262.45300007</v>
      </c>
      <c r="F87" s="133"/>
      <c r="G87" s="133"/>
      <c r="H87" s="133"/>
      <c r="I87" s="16"/>
      <c r="J87" s="133"/>
      <c r="K87" s="133"/>
      <c r="L87" s="133"/>
      <c r="M87" s="133"/>
      <c r="N87" s="133"/>
      <c r="O87" s="123"/>
      <c r="P87" s="43"/>
    </row>
    <row r="88" spans="1:44">
      <c r="A88" s="4" t="s">
        <v>34</v>
      </c>
      <c r="B88" s="6" t="s">
        <v>35</v>
      </c>
      <c r="C88" s="23"/>
      <c r="D88" s="19"/>
      <c r="E88" s="33"/>
      <c r="F88" s="34"/>
      <c r="G88" s="35"/>
      <c r="H88" s="35"/>
      <c r="I88" s="34"/>
      <c r="J88" s="34"/>
      <c r="K88" s="34"/>
      <c r="L88" s="35"/>
      <c r="M88" s="34"/>
      <c r="N88" s="34"/>
      <c r="O88" s="5"/>
    </row>
    <row r="89" spans="1:44">
      <c r="A89" s="4" t="s">
        <v>34</v>
      </c>
      <c r="B89" s="6" t="s">
        <v>35</v>
      </c>
      <c r="C89" s="23"/>
      <c r="D89" s="19"/>
      <c r="E89" s="33"/>
      <c r="F89" s="34"/>
      <c r="G89" s="35"/>
      <c r="H89" s="35"/>
      <c r="I89" s="34"/>
      <c r="J89" s="34"/>
      <c r="K89" s="34"/>
      <c r="L89" s="35"/>
      <c r="M89" s="34"/>
      <c r="N89" s="34"/>
      <c r="O89" s="5"/>
    </row>
    <row r="90" spans="1:44">
      <c r="A90" s="4" t="s">
        <v>34</v>
      </c>
      <c r="B90" s="6" t="s">
        <v>35</v>
      </c>
      <c r="C90" s="23"/>
      <c r="D90" s="19"/>
      <c r="E90" s="33"/>
      <c r="F90" s="34"/>
      <c r="G90" s="35"/>
      <c r="H90" s="35"/>
      <c r="I90" s="34"/>
      <c r="J90" s="34"/>
      <c r="K90" s="34"/>
      <c r="L90" s="35"/>
      <c r="M90" s="34"/>
      <c r="N90" s="34"/>
      <c r="O90" s="5"/>
    </row>
    <row r="91" spans="1:44">
      <c r="A91" s="4" t="s">
        <v>34</v>
      </c>
      <c r="B91" s="6" t="s">
        <v>35</v>
      </c>
      <c r="C91" s="23"/>
      <c r="D91" s="19"/>
      <c r="E91" s="33"/>
      <c r="F91" s="34"/>
      <c r="G91" s="35"/>
      <c r="H91" s="35"/>
      <c r="I91" s="34"/>
      <c r="J91" s="34"/>
      <c r="K91" s="34"/>
      <c r="L91" s="35"/>
      <c r="M91" s="34"/>
      <c r="N91" s="34"/>
      <c r="O91" s="5">
        <v>1</v>
      </c>
      <c r="P91">
        <v>1</v>
      </c>
      <c r="Q91">
        <v>1</v>
      </c>
      <c r="R91">
        <v>1</v>
      </c>
      <c r="S91">
        <v>1</v>
      </c>
      <c r="T91">
        <v>1</v>
      </c>
      <c r="U91">
        <v>1</v>
      </c>
      <c r="V91">
        <v>1</v>
      </c>
      <c r="W91">
        <v>1</v>
      </c>
      <c r="X91">
        <v>1</v>
      </c>
      <c r="Y91">
        <v>1</v>
      </c>
      <c r="Z91">
        <v>1</v>
      </c>
      <c r="AA91">
        <v>1</v>
      </c>
      <c r="AB91">
        <v>1</v>
      </c>
      <c r="AC91">
        <v>1</v>
      </c>
      <c r="AD91">
        <v>1</v>
      </c>
      <c r="AE91">
        <v>1</v>
      </c>
      <c r="AF91">
        <v>1</v>
      </c>
      <c r="AG91">
        <v>1</v>
      </c>
      <c r="AH91">
        <v>1</v>
      </c>
      <c r="AI91">
        <v>1</v>
      </c>
      <c r="AJ91">
        <v>1</v>
      </c>
      <c r="AK91">
        <v>1</v>
      </c>
      <c r="AL91">
        <v>1</v>
      </c>
      <c r="AM91">
        <v>1</v>
      </c>
      <c r="AN91">
        <v>1</v>
      </c>
      <c r="AO91">
        <v>1</v>
      </c>
      <c r="AP91">
        <v>1</v>
      </c>
      <c r="AQ91">
        <v>1</v>
      </c>
      <c r="AR91">
        <v>1</v>
      </c>
    </row>
    <row r="92" spans="1:44">
      <c r="C92" s="3"/>
      <c r="D92" s="36"/>
      <c r="E92" s="16"/>
      <c r="F92" s="16"/>
      <c r="G92" s="16"/>
      <c r="H92" s="16"/>
      <c r="I92" s="16"/>
      <c r="J92" s="16"/>
      <c r="K92" s="16"/>
      <c r="L92" s="16"/>
      <c r="M92" s="16"/>
      <c r="N92" s="16"/>
    </row>
    <row r="93" spans="1:44">
      <c r="A93" s="11"/>
      <c r="B93" s="11"/>
      <c r="C93" s="3"/>
      <c r="D93" s="36"/>
      <c r="E93" s="16"/>
      <c r="F93" s="37"/>
      <c r="G93" s="37"/>
      <c r="H93" s="16"/>
      <c r="I93" s="16"/>
      <c r="J93" s="16"/>
      <c r="K93" s="16"/>
      <c r="L93" s="24"/>
      <c r="M93" s="16"/>
      <c r="N93" s="16"/>
      <c r="O93" s="11"/>
    </row>
    <row r="94" spans="1:44">
      <c r="A94" s="11"/>
      <c r="B94" s="11"/>
      <c r="C94" s="4"/>
      <c r="D94" s="4"/>
      <c r="E94" s="10"/>
      <c r="F94" s="9"/>
      <c r="G94" s="11"/>
      <c r="H94" s="4"/>
      <c r="I94" s="10"/>
      <c r="J94" s="10"/>
      <c r="K94" s="11"/>
      <c r="L94" s="11"/>
      <c r="M94" s="12"/>
      <c r="N94" s="12"/>
      <c r="O94" s="11"/>
    </row>
    <row r="95" spans="1:44">
      <c r="A95" s="11"/>
      <c r="B95" s="11"/>
      <c r="C95" s="13"/>
      <c r="D95" s="26"/>
      <c r="E95" s="27"/>
      <c r="F95" s="10"/>
      <c r="H95" s="16"/>
      <c r="I95" s="9"/>
      <c r="J95" s="9"/>
      <c r="K95" s="10"/>
      <c r="L95" s="10"/>
      <c r="M95" s="10"/>
      <c r="N95" s="10"/>
      <c r="O95" s="14"/>
    </row>
    <row r="96" spans="1:44">
      <c r="D96" s="28" t="s">
        <v>76</v>
      </c>
      <c r="E96" s="29"/>
      <c r="H96" s="16"/>
      <c r="I96" s="15"/>
      <c r="J96" s="15"/>
    </row>
    <row r="97" spans="8:8">
      <c r="H97" s="16"/>
    </row>
    <row r="98" spans="8:8">
      <c r="H98" s="11"/>
    </row>
  </sheetData>
  <mergeCells count="5">
    <mergeCell ref="K11:L11"/>
    <mergeCell ref="E7:M7"/>
    <mergeCell ref="E8:M8"/>
    <mergeCell ref="F10:H10"/>
    <mergeCell ref="I10:N10"/>
  </mergeCells>
  <phoneticPr fontId="0" type="noConversion"/>
  <printOptions horizontalCentered="1"/>
  <pageMargins left="0" right="0.15748031496062992" top="0.27559055118110237" bottom="0.15748031496062992" header="0.27559055118110237" footer="0"/>
  <pageSetup paperSize="9" scale="50" orientation="portrait" horizontalDpi="300" verticalDpi="300" r:id="rId1"/>
  <headerFooter alignWithMargins="0"/>
  <colBreaks count="1" manualBreakCount="1">
    <brk id="11" min="1" max="85" man="1"/>
  </col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Hoja2"/>
  <dimension ref="A1:L73"/>
  <sheetViews>
    <sheetView workbookViewId="0">
      <selection activeCell="B6" sqref="B6"/>
    </sheetView>
  </sheetViews>
  <sheetFormatPr baseColWidth="10" defaultRowHeight="12.75"/>
  <cols>
    <col min="1" max="1" width="35.42578125" customWidth="1"/>
    <col min="2" max="2" width="13.28515625" customWidth="1"/>
  </cols>
  <sheetData>
    <row r="1" spans="1:12">
      <c r="G1">
        <v>-23679136.160000004</v>
      </c>
      <c r="I1">
        <v>0</v>
      </c>
    </row>
    <row r="2" spans="1:12">
      <c r="A2" s="30" t="s">
        <v>78</v>
      </c>
      <c r="B2" s="30" t="s">
        <v>92</v>
      </c>
      <c r="C2" s="30"/>
      <c r="D2" s="30"/>
      <c r="E2" s="30"/>
      <c r="J2">
        <v>38266.393833564813</v>
      </c>
    </row>
    <row r="3" spans="1:12">
      <c r="A3" s="31" t="s">
        <v>79</v>
      </c>
      <c r="B3" s="31"/>
      <c r="C3" s="31" t="s">
        <v>0</v>
      </c>
      <c r="D3" s="31"/>
      <c r="E3" s="31"/>
      <c r="F3" s="31" t="s">
        <v>1</v>
      </c>
      <c r="G3" s="31"/>
      <c r="H3" s="31"/>
    </row>
    <row r="4" spans="1:12">
      <c r="B4" s="31" t="s">
        <v>2</v>
      </c>
      <c r="C4" s="31" t="s">
        <v>3</v>
      </c>
      <c r="D4" s="31" t="s">
        <v>4</v>
      </c>
      <c r="E4" s="31" t="s">
        <v>5</v>
      </c>
      <c r="F4" s="31" t="s">
        <v>6</v>
      </c>
      <c r="G4" s="31" t="s">
        <v>80</v>
      </c>
      <c r="I4" t="s">
        <v>81</v>
      </c>
      <c r="J4" t="s">
        <v>82</v>
      </c>
    </row>
    <row r="5" spans="1:12">
      <c r="A5" t="s">
        <v>7</v>
      </c>
      <c r="B5" t="s">
        <v>8</v>
      </c>
      <c r="C5" t="s">
        <v>9</v>
      </c>
      <c r="D5" t="s">
        <v>10</v>
      </c>
      <c r="E5" t="s">
        <v>83</v>
      </c>
      <c r="F5" t="s">
        <v>11</v>
      </c>
      <c r="G5" t="s">
        <v>84</v>
      </c>
      <c r="H5" t="s">
        <v>85</v>
      </c>
      <c r="I5" t="s">
        <v>86</v>
      </c>
      <c r="J5" t="s">
        <v>87</v>
      </c>
    </row>
    <row r="6" spans="1:12">
      <c r="A6" s="31" t="s">
        <v>12</v>
      </c>
      <c r="B6" s="31">
        <v>46288977.130000003</v>
      </c>
      <c r="C6" s="31">
        <v>33700848.710000001</v>
      </c>
      <c r="D6" s="31">
        <v>331117.90999999997</v>
      </c>
      <c r="E6" s="31">
        <v>12245883.450000001</v>
      </c>
      <c r="F6" s="31">
        <v>34040436.490000002</v>
      </c>
      <c r="G6" s="31">
        <v>28120953.670000002</v>
      </c>
      <c r="H6">
        <v>0</v>
      </c>
      <c r="I6">
        <v>28129423.539999999</v>
      </c>
      <c r="J6">
        <v>5911012.950000003</v>
      </c>
    </row>
    <row r="7" spans="1:12">
      <c r="A7" s="31" t="s">
        <v>13</v>
      </c>
      <c r="B7" s="31">
        <v>5404148.1399999997</v>
      </c>
      <c r="C7">
        <v>3861663.34</v>
      </c>
      <c r="D7">
        <v>53120.28</v>
      </c>
      <c r="E7">
        <v>1489364.52</v>
      </c>
      <c r="F7">
        <v>3914783.62</v>
      </c>
      <c r="G7">
        <v>3914783.62</v>
      </c>
      <c r="H7">
        <v>0</v>
      </c>
      <c r="I7">
        <v>3914783.62</v>
      </c>
      <c r="J7">
        <v>0</v>
      </c>
    </row>
    <row r="8" spans="1:12">
      <c r="A8" s="31" t="s">
        <v>14</v>
      </c>
      <c r="B8" s="31">
        <v>23177481.41</v>
      </c>
      <c r="C8" s="31">
        <v>16887664.809999999</v>
      </c>
      <c r="D8" s="31">
        <v>86325.43</v>
      </c>
      <c r="E8" s="31">
        <v>6203491.1700000018</v>
      </c>
      <c r="F8" s="31">
        <v>16973990.239999998</v>
      </c>
      <c r="G8" s="31">
        <v>11416856.269999998</v>
      </c>
      <c r="H8">
        <v>0</v>
      </c>
      <c r="I8">
        <v>11416856.269999998</v>
      </c>
      <c r="J8">
        <v>5557133.9700000007</v>
      </c>
    </row>
    <row r="9" spans="1:12">
      <c r="A9" t="s">
        <v>15</v>
      </c>
      <c r="B9">
        <v>18649879.100000001</v>
      </c>
      <c r="C9">
        <v>13619240.33</v>
      </c>
      <c r="D9">
        <v>66083.350000000006</v>
      </c>
      <c r="E9">
        <v>4964555.42</v>
      </c>
      <c r="F9">
        <v>13685323.68</v>
      </c>
      <c r="G9">
        <v>8128189.709999999</v>
      </c>
      <c r="H9">
        <v>0</v>
      </c>
      <c r="I9">
        <v>8128189.709999999</v>
      </c>
      <c r="J9">
        <v>5557133.9700000007</v>
      </c>
    </row>
    <row r="10" spans="1:12">
      <c r="A10" t="s">
        <v>16</v>
      </c>
      <c r="B10">
        <v>2653421.59</v>
      </c>
      <c r="C10">
        <v>1916928.58</v>
      </c>
      <c r="D10">
        <v>8575.8700000000008</v>
      </c>
      <c r="E10">
        <v>727917.14</v>
      </c>
      <c r="F10">
        <v>1925504.45</v>
      </c>
      <c r="G10">
        <v>1925504.45</v>
      </c>
      <c r="H10">
        <v>0</v>
      </c>
      <c r="I10">
        <v>1925504.45</v>
      </c>
      <c r="J10">
        <v>0</v>
      </c>
    </row>
    <row r="11" spans="1:12">
      <c r="A11" t="s">
        <v>17</v>
      </c>
      <c r="B11">
        <v>1493650.07</v>
      </c>
      <c r="C11">
        <v>1075927.1000000001</v>
      </c>
      <c r="D11">
        <v>11136.86</v>
      </c>
      <c r="E11">
        <v>406586.11</v>
      </c>
      <c r="F11">
        <v>1087063.96</v>
      </c>
      <c r="G11">
        <v>1087063.96</v>
      </c>
      <c r="H11">
        <v>0</v>
      </c>
      <c r="I11">
        <v>1087063.96</v>
      </c>
      <c r="J11">
        <v>0</v>
      </c>
    </row>
    <row r="12" spans="1:12">
      <c r="A12" t="s">
        <v>18</v>
      </c>
      <c r="B12">
        <v>380530.65</v>
      </c>
      <c r="C12">
        <v>275568.8</v>
      </c>
      <c r="D12">
        <v>529.35</v>
      </c>
      <c r="E12">
        <v>104432.5</v>
      </c>
      <c r="F12">
        <v>276098.15000000002</v>
      </c>
      <c r="G12">
        <v>276098.15000000002</v>
      </c>
      <c r="H12">
        <v>0</v>
      </c>
      <c r="I12">
        <v>276098.15000000002</v>
      </c>
      <c r="J12">
        <v>0</v>
      </c>
    </row>
    <row r="13" spans="1:12">
      <c r="A13" s="31" t="s">
        <v>19</v>
      </c>
      <c r="B13" s="31">
        <v>7690874.0900000008</v>
      </c>
      <c r="C13" s="31">
        <v>5187310.47</v>
      </c>
      <c r="D13" s="31">
        <v>167249.46</v>
      </c>
      <c r="E13" s="31">
        <v>2336314.16</v>
      </c>
      <c r="F13" s="31">
        <v>5354559.93</v>
      </c>
      <c r="G13" s="31">
        <v>5354559.93</v>
      </c>
      <c r="H13">
        <v>0</v>
      </c>
      <c r="I13">
        <v>5354559.93</v>
      </c>
      <c r="J13">
        <v>0</v>
      </c>
    </row>
    <row r="14" spans="1:12">
      <c r="A14" t="s">
        <v>20</v>
      </c>
      <c r="B14">
        <v>6297614.6100000003</v>
      </c>
      <c r="C14">
        <v>4228933.7</v>
      </c>
      <c r="D14">
        <v>156776.76999999999</v>
      </c>
      <c r="E14">
        <v>1911904.14</v>
      </c>
      <c r="F14">
        <v>4385710.47</v>
      </c>
      <c r="G14">
        <v>4385710.47</v>
      </c>
      <c r="H14">
        <v>0</v>
      </c>
      <c r="I14">
        <v>4385710.47</v>
      </c>
      <c r="J14">
        <v>0</v>
      </c>
    </row>
    <row r="15" spans="1:12">
      <c r="A15" t="s">
        <v>21</v>
      </c>
      <c r="B15">
        <v>793285.03</v>
      </c>
      <c r="C15">
        <v>566396.06000000006</v>
      </c>
      <c r="D15">
        <v>252.53</v>
      </c>
      <c r="E15">
        <v>226636.44</v>
      </c>
      <c r="F15">
        <v>566648.59</v>
      </c>
      <c r="G15">
        <v>566648.59</v>
      </c>
      <c r="H15">
        <v>0</v>
      </c>
      <c r="I15">
        <v>566648.59</v>
      </c>
      <c r="J15">
        <v>0</v>
      </c>
      <c r="L15" t="s">
        <v>88</v>
      </c>
    </row>
    <row r="16" spans="1:12">
      <c r="A16" t="s">
        <v>22</v>
      </c>
      <c r="B16">
        <v>523650.91</v>
      </c>
      <c r="C16">
        <v>346078.31</v>
      </c>
      <c r="D16">
        <v>10061.93</v>
      </c>
      <c r="E16">
        <v>167510.67000000001</v>
      </c>
      <c r="F16">
        <v>356140.24</v>
      </c>
      <c r="G16">
        <v>356140.24</v>
      </c>
      <c r="H16">
        <v>0</v>
      </c>
      <c r="I16">
        <v>356140.24</v>
      </c>
      <c r="J16">
        <v>0</v>
      </c>
    </row>
    <row r="17" spans="1:10">
      <c r="A17" t="s">
        <v>23</v>
      </c>
      <c r="B17">
        <v>76323.539999999994</v>
      </c>
      <c r="C17">
        <v>45902.400000000001</v>
      </c>
      <c r="D17">
        <v>158.22999999999999</v>
      </c>
      <c r="E17">
        <v>30262.91</v>
      </c>
      <c r="F17">
        <v>46060.63</v>
      </c>
      <c r="G17">
        <v>46060.63</v>
      </c>
      <c r="H17">
        <v>0</v>
      </c>
      <c r="I17">
        <v>46060.63</v>
      </c>
      <c r="J17">
        <v>0</v>
      </c>
    </row>
    <row r="18" spans="1:10">
      <c r="A18" s="31" t="s">
        <v>24</v>
      </c>
      <c r="B18" s="31">
        <v>1716916.52</v>
      </c>
      <c r="C18" s="31">
        <v>1197754.76</v>
      </c>
      <c r="D18" s="31">
        <v>24422.74</v>
      </c>
      <c r="E18" s="31">
        <v>494739.02</v>
      </c>
      <c r="F18" s="31">
        <v>1222177.5</v>
      </c>
      <c r="G18" s="31">
        <v>868298.52</v>
      </c>
      <c r="H18">
        <v>0</v>
      </c>
      <c r="I18">
        <v>868298.52</v>
      </c>
      <c r="J18">
        <v>353878.98</v>
      </c>
    </row>
    <row r="19" spans="1:10">
      <c r="A19" s="31" t="s">
        <v>25</v>
      </c>
      <c r="B19" s="31">
        <v>628367.93999999994</v>
      </c>
      <c r="C19" s="31">
        <v>431270.78</v>
      </c>
      <c r="D19" s="31">
        <v>9306.0400000000009</v>
      </c>
      <c r="E19" s="31">
        <v>187791.12</v>
      </c>
      <c r="F19" s="31">
        <v>440576.82</v>
      </c>
      <c r="G19" s="31">
        <v>361190.36</v>
      </c>
      <c r="H19">
        <v>0</v>
      </c>
      <c r="I19">
        <v>361190.36</v>
      </c>
      <c r="J19">
        <v>79386.460000000079</v>
      </c>
    </row>
    <row r="20" spans="1:10">
      <c r="A20" t="s">
        <v>26</v>
      </c>
      <c r="B20">
        <v>112706.63</v>
      </c>
      <c r="C20">
        <v>77972.600000000006</v>
      </c>
      <c r="D20">
        <v>1413.86</v>
      </c>
      <c r="E20">
        <v>33320.17</v>
      </c>
      <c r="F20">
        <v>79386.460000000006</v>
      </c>
      <c r="G20">
        <v>0</v>
      </c>
      <c r="H20">
        <v>0</v>
      </c>
      <c r="I20">
        <v>0</v>
      </c>
      <c r="J20">
        <v>79386.460000000006</v>
      </c>
    </row>
    <row r="21" spans="1:10">
      <c r="A21" t="s">
        <v>27</v>
      </c>
      <c r="B21">
        <v>261626.07</v>
      </c>
      <c r="C21">
        <v>179667.66</v>
      </c>
      <c r="D21">
        <v>4109.53</v>
      </c>
      <c r="E21">
        <v>77848.88</v>
      </c>
      <c r="F21">
        <v>183777.19</v>
      </c>
      <c r="G21">
        <v>183777.19</v>
      </c>
      <c r="H21">
        <v>0</v>
      </c>
      <c r="I21">
        <v>183777.19</v>
      </c>
      <c r="J21">
        <v>0</v>
      </c>
    </row>
    <row r="22" spans="1:10">
      <c r="A22" t="s">
        <v>28</v>
      </c>
      <c r="B22">
        <v>254035.24</v>
      </c>
      <c r="C22">
        <v>173630.52</v>
      </c>
      <c r="D22">
        <v>3782.65</v>
      </c>
      <c r="E22">
        <v>76622.070000000007</v>
      </c>
      <c r="F22">
        <v>177413.17</v>
      </c>
      <c r="G22">
        <v>177413.17</v>
      </c>
      <c r="H22">
        <v>0</v>
      </c>
      <c r="I22">
        <v>177413.17</v>
      </c>
      <c r="J22">
        <v>0</v>
      </c>
    </row>
    <row r="23" spans="1:10">
      <c r="A23" s="31" t="s">
        <v>29</v>
      </c>
      <c r="B23" s="31">
        <v>1088548.58</v>
      </c>
      <c r="C23" s="31">
        <v>766483.98</v>
      </c>
      <c r="D23" s="31">
        <v>15116.7</v>
      </c>
      <c r="E23" s="31">
        <v>306947.90000000002</v>
      </c>
      <c r="F23" s="31">
        <v>781600.68</v>
      </c>
      <c r="G23" s="31">
        <v>507108.16</v>
      </c>
      <c r="H23">
        <v>0</v>
      </c>
      <c r="I23">
        <v>507108.16</v>
      </c>
      <c r="J23">
        <v>274492.52</v>
      </c>
    </row>
    <row r="24" spans="1:10">
      <c r="A24" t="s">
        <v>30</v>
      </c>
      <c r="B24">
        <v>711827.26</v>
      </c>
      <c r="C24">
        <v>496234.19</v>
      </c>
      <c r="D24">
        <v>8812.57</v>
      </c>
      <c r="E24">
        <v>206780.5</v>
      </c>
      <c r="F24">
        <v>505046.76</v>
      </c>
      <c r="G24">
        <v>505046.76</v>
      </c>
      <c r="H24">
        <v>0</v>
      </c>
      <c r="I24">
        <v>505046.76</v>
      </c>
      <c r="J24">
        <v>0</v>
      </c>
    </row>
    <row r="25" spans="1:10">
      <c r="A25" t="s">
        <v>26</v>
      </c>
      <c r="B25">
        <v>376721.32</v>
      </c>
      <c r="C25">
        <v>270249.78999999998</v>
      </c>
      <c r="D25">
        <v>6304.13</v>
      </c>
      <c r="E25">
        <v>100167.4</v>
      </c>
      <c r="F25">
        <v>276553.92</v>
      </c>
      <c r="G25">
        <v>2061.4</v>
      </c>
      <c r="H25">
        <v>0</v>
      </c>
      <c r="I25">
        <v>2061.4</v>
      </c>
      <c r="J25">
        <v>274492.52</v>
      </c>
    </row>
    <row r="26" spans="1:10">
      <c r="A26" t="s">
        <v>31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</row>
    <row r="27" spans="1:10">
      <c r="A27" s="31" t="s">
        <v>32</v>
      </c>
      <c r="B27" s="31">
        <v>8299556.9699999997</v>
      </c>
      <c r="C27" s="31">
        <v>6566455.3300000001</v>
      </c>
      <c r="D27" s="31">
        <v>0</v>
      </c>
      <c r="E27" s="31">
        <v>1721974.58</v>
      </c>
      <c r="F27" s="31">
        <v>6574925.2000000002</v>
      </c>
      <c r="G27" s="31">
        <v>6566455.3300000001</v>
      </c>
      <c r="H27">
        <v>0</v>
      </c>
      <c r="I27">
        <v>6574925.2000000002</v>
      </c>
      <c r="J27">
        <v>0</v>
      </c>
    </row>
    <row r="28" spans="1:10">
      <c r="A28" s="31" t="s">
        <v>33</v>
      </c>
      <c r="B28" s="31">
        <v>3798431.39</v>
      </c>
      <c r="C28" s="31">
        <v>3056148.77</v>
      </c>
      <c r="D28" s="31">
        <v>0</v>
      </c>
      <c r="E28" s="31">
        <v>742282.62</v>
      </c>
      <c r="F28" s="31">
        <v>3056148.77</v>
      </c>
      <c r="G28" s="31">
        <v>3056148.77</v>
      </c>
      <c r="H28">
        <v>0</v>
      </c>
      <c r="I28">
        <v>3056148.77</v>
      </c>
      <c r="J28">
        <v>0</v>
      </c>
    </row>
    <row r="29" spans="1:10">
      <c r="A29" t="s">
        <v>36</v>
      </c>
      <c r="B29">
        <v>3680972.36</v>
      </c>
      <c r="C29">
        <v>2964964.35</v>
      </c>
      <c r="D29">
        <v>0</v>
      </c>
      <c r="E29">
        <v>716008.01</v>
      </c>
      <c r="F29">
        <v>2964964.35</v>
      </c>
      <c r="G29">
        <v>2964964.35</v>
      </c>
      <c r="H29">
        <v>0</v>
      </c>
      <c r="I29">
        <v>2964964.35</v>
      </c>
      <c r="J29">
        <v>0</v>
      </c>
    </row>
    <row r="30" spans="1:10">
      <c r="A30" t="s">
        <v>37</v>
      </c>
      <c r="B30">
        <v>117459.03</v>
      </c>
      <c r="C30">
        <v>91184.42</v>
      </c>
      <c r="D30">
        <v>0</v>
      </c>
      <c r="E30">
        <v>26274.61</v>
      </c>
      <c r="F30">
        <v>91184.42</v>
      </c>
      <c r="G30">
        <v>91184.42</v>
      </c>
      <c r="H30">
        <v>0</v>
      </c>
      <c r="I30">
        <v>91184.42</v>
      </c>
      <c r="J30">
        <v>0</v>
      </c>
    </row>
    <row r="31" spans="1:10">
      <c r="A31" t="s">
        <v>38</v>
      </c>
      <c r="B31">
        <v>122200</v>
      </c>
      <c r="C31">
        <v>122200</v>
      </c>
      <c r="D31">
        <v>0</v>
      </c>
      <c r="E31">
        <v>0</v>
      </c>
      <c r="F31">
        <v>122200</v>
      </c>
      <c r="G31">
        <v>122200</v>
      </c>
      <c r="H31">
        <v>0</v>
      </c>
      <c r="I31">
        <v>122200</v>
      </c>
      <c r="J31">
        <v>0</v>
      </c>
    </row>
    <row r="32" spans="1:10">
      <c r="A32" s="31" t="s">
        <v>39</v>
      </c>
      <c r="B32" s="31">
        <v>3784592.49</v>
      </c>
      <c r="C32" s="31">
        <v>2952089.22</v>
      </c>
      <c r="D32" s="31">
        <v>0</v>
      </c>
      <c r="E32" s="31">
        <v>821376.21</v>
      </c>
      <c r="F32" s="31">
        <v>2960559.09</v>
      </c>
      <c r="G32" s="31">
        <v>2952089.22</v>
      </c>
      <c r="H32">
        <v>0</v>
      </c>
      <c r="I32">
        <v>2960559.09</v>
      </c>
      <c r="J32">
        <v>0</v>
      </c>
    </row>
    <row r="33" spans="1:11">
      <c r="A33" t="s">
        <v>40</v>
      </c>
      <c r="B33">
        <v>2771876.02</v>
      </c>
      <c r="C33">
        <v>2176729.2799999998</v>
      </c>
      <c r="D33">
        <v>0</v>
      </c>
      <c r="E33">
        <v>595146.74</v>
      </c>
      <c r="F33">
        <v>2176729.2799999998</v>
      </c>
      <c r="G33">
        <v>2176729.2799999998</v>
      </c>
      <c r="H33">
        <v>0</v>
      </c>
      <c r="I33">
        <v>2176729.2799999998</v>
      </c>
      <c r="J33">
        <v>0</v>
      </c>
    </row>
    <row r="34" spans="1:11">
      <c r="A34" t="s">
        <v>41</v>
      </c>
      <c r="B34">
        <v>695606.01</v>
      </c>
      <c r="C34">
        <v>543751.80000000005</v>
      </c>
      <c r="D34">
        <v>0</v>
      </c>
      <c r="E34">
        <v>151854.21</v>
      </c>
      <c r="F34">
        <v>543751.80000000005</v>
      </c>
      <c r="G34">
        <v>543751.80000000005</v>
      </c>
      <c r="H34">
        <v>0</v>
      </c>
      <c r="I34">
        <v>543751.80000000005</v>
      </c>
      <c r="J34">
        <v>0</v>
      </c>
    </row>
    <row r="35" spans="1:11">
      <c r="A35" t="s">
        <v>42</v>
      </c>
      <c r="B35">
        <v>305983.40000000002</v>
      </c>
      <c r="C35">
        <v>231608.14</v>
      </c>
      <c r="D35">
        <v>0</v>
      </c>
      <c r="E35">
        <v>74375.259999999995</v>
      </c>
      <c r="F35">
        <v>231608.14</v>
      </c>
      <c r="G35">
        <v>231608.14</v>
      </c>
      <c r="H35">
        <v>0</v>
      </c>
      <c r="I35">
        <v>231608.14</v>
      </c>
      <c r="J35">
        <v>0</v>
      </c>
    </row>
    <row r="36" spans="1:11">
      <c r="A36" t="s">
        <v>43</v>
      </c>
      <c r="B36">
        <v>11127.06</v>
      </c>
      <c r="C36">
        <v>8469.8700000000008</v>
      </c>
      <c r="D36">
        <v>0</v>
      </c>
      <c r="E36">
        <v>2657.19</v>
      </c>
      <c r="F36">
        <v>8469.8700000000008</v>
      </c>
      <c r="G36">
        <v>8469.8700000000008</v>
      </c>
      <c r="H36">
        <v>0</v>
      </c>
      <c r="I36">
        <v>8469.8700000000008</v>
      </c>
      <c r="J36">
        <v>0</v>
      </c>
    </row>
    <row r="37" spans="1:11">
      <c r="A37" t="s">
        <v>89</v>
      </c>
      <c r="B37">
        <v>12575.08</v>
      </c>
      <c r="C37">
        <v>9913.42</v>
      </c>
      <c r="D37">
        <v>0</v>
      </c>
      <c r="E37">
        <v>2661.66</v>
      </c>
      <c r="F37">
        <v>9913.42</v>
      </c>
      <c r="G37">
        <v>9913.42</v>
      </c>
      <c r="H37">
        <v>0</v>
      </c>
      <c r="I37">
        <v>9913.42</v>
      </c>
      <c r="J37">
        <v>0</v>
      </c>
    </row>
    <row r="38" spans="1:11">
      <c r="A38" s="31" t="s">
        <v>44</v>
      </c>
      <c r="B38" s="31">
        <v>716533.09</v>
      </c>
      <c r="C38">
        <v>558217.34</v>
      </c>
      <c r="D38">
        <v>0</v>
      </c>
      <c r="E38">
        <v>158315.75</v>
      </c>
      <c r="F38">
        <v>558217.34</v>
      </c>
      <c r="G38">
        <v>558217.34</v>
      </c>
      <c r="H38">
        <v>0</v>
      </c>
      <c r="I38">
        <v>558217.34</v>
      </c>
      <c r="J38">
        <v>0</v>
      </c>
    </row>
    <row r="40" spans="1:11">
      <c r="A40" s="31" t="s">
        <v>45</v>
      </c>
      <c r="B40" s="31">
        <v>7990221.0300000003</v>
      </c>
      <c r="C40">
        <v>6487055.3399999999</v>
      </c>
      <c r="D40">
        <v>119.14</v>
      </c>
      <c r="E40">
        <v>1503046.55</v>
      </c>
      <c r="F40">
        <v>6487174.4800000004</v>
      </c>
      <c r="G40">
        <v>1639178.36</v>
      </c>
      <c r="H40">
        <v>0</v>
      </c>
      <c r="I40">
        <v>1639178.36</v>
      </c>
      <c r="J40">
        <v>4847996.12</v>
      </c>
    </row>
    <row r="41" spans="1:11">
      <c r="A41" s="31" t="s">
        <v>46</v>
      </c>
      <c r="B41" s="31">
        <v>7990221.0300000003</v>
      </c>
      <c r="C41">
        <v>6487055.3399999999</v>
      </c>
      <c r="D41">
        <v>119.14</v>
      </c>
      <c r="E41">
        <v>1503046.55</v>
      </c>
      <c r="F41">
        <v>6487174.4800000004</v>
      </c>
      <c r="G41">
        <v>1639178.36</v>
      </c>
      <c r="H41">
        <v>0</v>
      </c>
      <c r="I41">
        <v>1639178.36</v>
      </c>
      <c r="J41">
        <v>4847996.12</v>
      </c>
    </row>
    <row r="42" spans="1:11">
      <c r="A42" t="s">
        <v>47</v>
      </c>
      <c r="B42">
        <v>5653506.9400000004</v>
      </c>
      <c r="C42">
        <v>4802403.59</v>
      </c>
      <c r="D42">
        <v>0</v>
      </c>
      <c r="E42">
        <v>851103.35000000056</v>
      </c>
      <c r="F42">
        <v>4802403.59</v>
      </c>
      <c r="G42">
        <v>0</v>
      </c>
      <c r="H42">
        <v>0</v>
      </c>
      <c r="I42">
        <v>0</v>
      </c>
      <c r="J42">
        <v>4802403.59</v>
      </c>
    </row>
    <row r="43" spans="1:11">
      <c r="A43" t="s">
        <v>48</v>
      </c>
      <c r="B43">
        <v>2087329.92</v>
      </c>
      <c r="C43">
        <v>1491643.38</v>
      </c>
      <c r="D43">
        <v>0</v>
      </c>
      <c r="E43">
        <v>595686.54</v>
      </c>
      <c r="F43">
        <v>1491643.38</v>
      </c>
      <c r="G43">
        <v>1491643.38</v>
      </c>
      <c r="H43">
        <v>0</v>
      </c>
      <c r="I43">
        <v>1491643.38</v>
      </c>
      <c r="J43">
        <v>0</v>
      </c>
    </row>
    <row r="44" spans="1:11">
      <c r="A44" t="s">
        <v>49</v>
      </c>
      <c r="B44">
        <v>35591.93</v>
      </c>
      <c r="C44">
        <v>45473.39</v>
      </c>
      <c r="D44">
        <v>119.14</v>
      </c>
      <c r="E44">
        <v>-10000.6</v>
      </c>
      <c r="F44">
        <v>45592.53</v>
      </c>
      <c r="G44">
        <v>0</v>
      </c>
      <c r="H44">
        <v>0</v>
      </c>
      <c r="I44">
        <v>0</v>
      </c>
      <c r="J44">
        <v>45592.53</v>
      </c>
      <c r="K44" t="s">
        <v>90</v>
      </c>
    </row>
    <row r="45" spans="1:11">
      <c r="A45" t="s">
        <v>50</v>
      </c>
      <c r="B45">
        <v>213792.24</v>
      </c>
      <c r="C45">
        <v>147534.98000000001</v>
      </c>
      <c r="D45">
        <v>0</v>
      </c>
      <c r="E45">
        <v>66257.259999999995</v>
      </c>
      <c r="F45">
        <v>147534.98000000001</v>
      </c>
      <c r="G45">
        <v>147534.98000000001</v>
      </c>
      <c r="H45">
        <v>0</v>
      </c>
      <c r="I45">
        <v>147534.98000000001</v>
      </c>
      <c r="J45">
        <v>0</v>
      </c>
    </row>
    <row r="47" spans="1:11">
      <c r="A47" s="31" t="s">
        <v>51</v>
      </c>
      <c r="B47" s="31">
        <v>54279198.160000004</v>
      </c>
      <c r="C47">
        <v>40187904.049999997</v>
      </c>
      <c r="D47">
        <v>331237.05</v>
      </c>
      <c r="E47">
        <v>13748930.000000002</v>
      </c>
      <c r="F47">
        <v>40527610.969999999</v>
      </c>
      <c r="G47">
        <v>29760132.030000001</v>
      </c>
      <c r="H47">
        <v>0</v>
      </c>
      <c r="I47">
        <v>29768601.899999999</v>
      </c>
      <c r="J47">
        <v>10759009.070000004</v>
      </c>
    </row>
    <row r="48" spans="1:11">
      <c r="A48" s="25" t="s">
        <v>52</v>
      </c>
      <c r="B48" s="25"/>
      <c r="C48" s="25"/>
      <c r="J48">
        <v>19637700.82</v>
      </c>
    </row>
    <row r="49" spans="1:11">
      <c r="A49" s="25" t="s">
        <v>53</v>
      </c>
      <c r="B49" s="25"/>
      <c r="C49" s="25"/>
    </row>
    <row r="50" spans="1:11">
      <c r="A50" s="25" t="s">
        <v>55</v>
      </c>
      <c r="B50" s="25"/>
      <c r="C50" s="25"/>
    </row>
    <row r="51" spans="1:11">
      <c r="A51" s="31" t="s">
        <v>56</v>
      </c>
      <c r="B51" s="31"/>
    </row>
    <row r="52" spans="1:11">
      <c r="A52" s="31" t="s">
        <v>57</v>
      </c>
      <c r="B52" s="31">
        <v>2834909.5</v>
      </c>
      <c r="C52">
        <v>2813285.48</v>
      </c>
      <c r="D52">
        <v>0</v>
      </c>
      <c r="E52">
        <v>21624.02</v>
      </c>
      <c r="F52">
        <v>2813285.48</v>
      </c>
      <c r="G52">
        <v>0</v>
      </c>
      <c r="H52">
        <v>0</v>
      </c>
      <c r="I52">
        <v>0</v>
      </c>
      <c r="J52">
        <v>2813285.48</v>
      </c>
      <c r="K52" t="s">
        <v>54</v>
      </c>
    </row>
    <row r="53" spans="1:11">
      <c r="A53" t="s">
        <v>58</v>
      </c>
      <c r="B53">
        <v>1149509.77</v>
      </c>
      <c r="C53">
        <v>1127885.75</v>
      </c>
      <c r="D53">
        <v>0</v>
      </c>
      <c r="E53">
        <v>21624.02</v>
      </c>
      <c r="F53">
        <v>1127885.75</v>
      </c>
      <c r="G53">
        <v>0</v>
      </c>
      <c r="H53">
        <v>0</v>
      </c>
      <c r="I53">
        <v>0</v>
      </c>
      <c r="J53">
        <v>1127885.75</v>
      </c>
    </row>
    <row r="54" spans="1:11">
      <c r="A54" t="s">
        <v>59</v>
      </c>
      <c r="B54">
        <v>1418441.62</v>
      </c>
      <c r="C54">
        <v>1418441.62</v>
      </c>
      <c r="D54">
        <v>0</v>
      </c>
      <c r="E54">
        <v>0</v>
      </c>
      <c r="F54">
        <v>1418441.62</v>
      </c>
      <c r="G54">
        <v>0</v>
      </c>
      <c r="H54">
        <v>0</v>
      </c>
      <c r="I54">
        <v>0</v>
      </c>
      <c r="J54">
        <v>1418441.62</v>
      </c>
    </row>
    <row r="55" spans="1:11">
      <c r="A55" t="s">
        <v>60</v>
      </c>
      <c r="B55">
        <v>266958.11</v>
      </c>
      <c r="C55">
        <v>266958.11</v>
      </c>
      <c r="D55">
        <v>0</v>
      </c>
      <c r="E55">
        <v>0</v>
      </c>
      <c r="F55">
        <v>266958.11</v>
      </c>
      <c r="G55">
        <v>0</v>
      </c>
      <c r="H55">
        <v>0</v>
      </c>
      <c r="I55">
        <v>0</v>
      </c>
      <c r="J55">
        <v>266958.11</v>
      </c>
    </row>
    <row r="56" spans="1:11">
      <c r="F56">
        <v>0</v>
      </c>
    </row>
    <row r="57" spans="1:11">
      <c r="A57" s="31" t="s">
        <v>61</v>
      </c>
      <c r="B57" s="31">
        <v>83369.05</v>
      </c>
      <c r="C57">
        <v>149638.64000000001</v>
      </c>
      <c r="D57">
        <v>0</v>
      </c>
      <c r="F57">
        <v>178031.42</v>
      </c>
      <c r="G57">
        <v>0</v>
      </c>
      <c r="H57">
        <v>0</v>
      </c>
      <c r="I57">
        <v>0</v>
      </c>
      <c r="J57">
        <v>178031.42</v>
      </c>
      <c r="K57" t="s">
        <v>54</v>
      </c>
    </row>
    <row r="58" spans="1:11">
      <c r="A58" t="s">
        <v>62</v>
      </c>
      <c r="B58">
        <v>149638.64000000001</v>
      </c>
      <c r="D58">
        <v>0</v>
      </c>
      <c r="F58">
        <v>149638.64000000001</v>
      </c>
      <c r="G58">
        <v>0</v>
      </c>
      <c r="H58">
        <v>0</v>
      </c>
      <c r="I58">
        <v>0</v>
      </c>
      <c r="J58">
        <v>149638.64000000001</v>
      </c>
    </row>
    <row r="59" spans="1:11">
      <c r="A59" s="31" t="s">
        <v>63</v>
      </c>
    </row>
    <row r="60" spans="1:11">
      <c r="A60" t="s">
        <v>64</v>
      </c>
      <c r="B60">
        <v>30844.66</v>
      </c>
      <c r="C60">
        <v>28392.78</v>
      </c>
      <c r="D60">
        <v>0</v>
      </c>
      <c r="E60">
        <v>2451.88</v>
      </c>
      <c r="F60">
        <v>28392.78</v>
      </c>
      <c r="G60">
        <v>0</v>
      </c>
      <c r="H60">
        <v>0</v>
      </c>
      <c r="I60">
        <v>0</v>
      </c>
      <c r="J60">
        <v>28392.78</v>
      </c>
    </row>
    <row r="61" spans="1:11">
      <c r="A61" s="31" t="s">
        <v>65</v>
      </c>
      <c r="B61" s="31">
        <v>585801.21</v>
      </c>
      <c r="C61">
        <v>585801.21</v>
      </c>
      <c r="D61">
        <v>0</v>
      </c>
      <c r="E61">
        <v>0</v>
      </c>
      <c r="F61">
        <v>585801.21</v>
      </c>
      <c r="G61">
        <v>428429.6</v>
      </c>
      <c r="H61">
        <v>0</v>
      </c>
      <c r="I61">
        <v>585801.21</v>
      </c>
      <c r="J61">
        <v>0</v>
      </c>
      <c r="K61" t="s">
        <v>54</v>
      </c>
    </row>
    <row r="62" spans="1:11">
      <c r="A62" s="31" t="s">
        <v>66</v>
      </c>
      <c r="B62" s="31">
        <v>382423.32</v>
      </c>
      <c r="C62">
        <v>382423.32</v>
      </c>
      <c r="D62">
        <v>0</v>
      </c>
      <c r="E62">
        <v>0</v>
      </c>
      <c r="F62">
        <v>382423.32</v>
      </c>
      <c r="G62">
        <v>382423.32</v>
      </c>
      <c r="H62">
        <v>0</v>
      </c>
      <c r="I62">
        <v>382423.32</v>
      </c>
      <c r="J62">
        <v>0</v>
      </c>
    </row>
    <row r="63" spans="1:11">
      <c r="A63" s="31" t="s">
        <v>67</v>
      </c>
      <c r="B63" s="31">
        <v>46006.28</v>
      </c>
      <c r="C63">
        <v>46006.28</v>
      </c>
      <c r="D63">
        <v>0</v>
      </c>
      <c r="E63">
        <v>0</v>
      </c>
      <c r="F63">
        <v>46006.28</v>
      </c>
      <c r="G63">
        <v>46006.28</v>
      </c>
      <c r="H63">
        <v>0</v>
      </c>
      <c r="I63">
        <v>46006.28</v>
      </c>
      <c r="J63">
        <v>0</v>
      </c>
    </row>
    <row r="64" spans="1:11">
      <c r="A64" s="31" t="s">
        <v>68</v>
      </c>
      <c r="B64" s="31">
        <v>157371.60999999999</v>
      </c>
      <c r="C64">
        <v>157371.60999999999</v>
      </c>
      <c r="D64">
        <v>0</v>
      </c>
      <c r="E64">
        <v>0</v>
      </c>
      <c r="F64">
        <v>157371.60999999999</v>
      </c>
      <c r="G64">
        <v>157371.60999999999</v>
      </c>
      <c r="H64">
        <v>0</v>
      </c>
      <c r="I64">
        <v>157371.60999999999</v>
      </c>
      <c r="J64">
        <v>0</v>
      </c>
    </row>
    <row r="65" spans="1:11">
      <c r="A65" s="31" t="s">
        <v>69</v>
      </c>
      <c r="B65" s="31">
        <v>4861785.16</v>
      </c>
      <c r="C65">
        <v>4861785.16</v>
      </c>
      <c r="D65">
        <v>0</v>
      </c>
      <c r="E65">
        <v>0</v>
      </c>
      <c r="F65">
        <v>8161785.1600000001</v>
      </c>
      <c r="G65">
        <v>0</v>
      </c>
      <c r="H65">
        <v>0</v>
      </c>
      <c r="I65">
        <v>0</v>
      </c>
      <c r="J65">
        <v>8161785.1600000001</v>
      </c>
      <c r="K65" t="s">
        <v>54</v>
      </c>
    </row>
    <row r="66" spans="1:11">
      <c r="A66" t="s">
        <v>70</v>
      </c>
      <c r="B66">
        <v>2298614.04</v>
      </c>
      <c r="C66">
        <v>2298614.04</v>
      </c>
      <c r="D66">
        <v>0</v>
      </c>
      <c r="E66">
        <v>0</v>
      </c>
      <c r="F66">
        <v>2298614.04</v>
      </c>
      <c r="G66">
        <v>0</v>
      </c>
      <c r="H66">
        <v>0</v>
      </c>
      <c r="I66">
        <v>0</v>
      </c>
      <c r="J66">
        <v>2298614.04</v>
      </c>
    </row>
    <row r="67" spans="1:11">
      <c r="A67" t="s">
        <v>71</v>
      </c>
      <c r="B67">
        <v>2273171.12</v>
      </c>
      <c r="C67">
        <v>2273171.12</v>
      </c>
      <c r="D67">
        <v>0</v>
      </c>
      <c r="E67">
        <v>0</v>
      </c>
      <c r="F67">
        <v>2273171.12</v>
      </c>
      <c r="G67">
        <v>0</v>
      </c>
      <c r="H67">
        <v>0</v>
      </c>
      <c r="I67">
        <v>0</v>
      </c>
      <c r="J67">
        <v>2273171.12</v>
      </c>
    </row>
    <row r="68" spans="1:11">
      <c r="A68" t="s">
        <v>72</v>
      </c>
      <c r="B68">
        <v>290000</v>
      </c>
      <c r="C68">
        <v>290000</v>
      </c>
      <c r="D68">
        <v>0</v>
      </c>
      <c r="E68">
        <v>0</v>
      </c>
      <c r="F68">
        <v>290000</v>
      </c>
      <c r="G68">
        <v>0</v>
      </c>
      <c r="H68">
        <v>0</v>
      </c>
      <c r="I68">
        <v>0</v>
      </c>
      <c r="J68">
        <v>290000</v>
      </c>
    </row>
    <row r="69" spans="1:11">
      <c r="A69" t="s">
        <v>73</v>
      </c>
      <c r="B69">
        <v>3300000</v>
      </c>
      <c r="C69">
        <v>3300000</v>
      </c>
      <c r="D69">
        <v>0</v>
      </c>
      <c r="E69">
        <v>0</v>
      </c>
      <c r="F69">
        <v>3300000</v>
      </c>
      <c r="G69">
        <v>0</v>
      </c>
      <c r="H69">
        <v>0</v>
      </c>
      <c r="I69">
        <v>0</v>
      </c>
      <c r="J69">
        <v>3300000</v>
      </c>
    </row>
    <row r="70" spans="1:11">
      <c r="A70" s="31" t="s">
        <v>74</v>
      </c>
      <c r="B70" s="31">
        <v>8365864.9199999999</v>
      </c>
      <c r="C70">
        <v>8410510.4900000002</v>
      </c>
      <c r="D70">
        <v>0</v>
      </c>
      <c r="F70">
        <v>11738903.270000001</v>
      </c>
      <c r="G70">
        <v>428429.6</v>
      </c>
      <c r="H70">
        <v>0</v>
      </c>
      <c r="I70">
        <v>585801.21</v>
      </c>
      <c r="J70">
        <v>11153102.060000001</v>
      </c>
    </row>
    <row r="71" spans="1:11">
      <c r="A71" s="31" t="s">
        <v>51</v>
      </c>
      <c r="B71" s="31">
        <v>62645063.080000006</v>
      </c>
      <c r="F71">
        <v>52266514.240000002</v>
      </c>
      <c r="I71">
        <v>30354403.109999999</v>
      </c>
      <c r="J71">
        <v>21912111.130000003</v>
      </c>
    </row>
    <row r="72" spans="1:11">
      <c r="F72">
        <v>1227560.22</v>
      </c>
    </row>
    <row r="73" spans="1:11">
      <c r="A73" t="s">
        <v>75</v>
      </c>
    </row>
  </sheetData>
  <phoneticPr fontId="0" type="noConversion"/>
  <pageMargins left="0.75" right="0.75" top="1" bottom="1" header="0" footer="0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Hoja1</vt:lpstr>
      <vt:lpstr>Hoja2</vt:lpstr>
      <vt:lpstr>Hoja1!Área_de_impresión</vt:lpstr>
    </vt:vector>
  </TitlesOfParts>
  <Company>Tesoreria General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Tesorería</dc:creator>
  <cp:lastModifiedBy>sarganaraz</cp:lastModifiedBy>
  <cp:lastPrinted>2022-04-04T18:43:42Z</cp:lastPrinted>
  <dcterms:created xsi:type="dcterms:W3CDTF">2004-09-27T14:21:39Z</dcterms:created>
  <dcterms:modified xsi:type="dcterms:W3CDTF">2022-05-26T18:37:30Z</dcterms:modified>
</cp:coreProperties>
</file>