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/>
  <workbookPr showInkAnnotation="0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01-FRANCISCO\Conciliacion\pagadora\2022\04 - ABRIL\"/>
    </mc:Choice>
  </mc:AlternateContent>
  <xr:revisionPtr revIDLastSave="0" documentId="13_ncr:1_{81634334-0717-4B17-B489-1434E784D4E8}" xr6:coauthVersionLast="47" xr6:coauthVersionMax="47" xr10:uidLastSave="{00000000-0000-0000-0000-000000000000}"/>
  <bookViews>
    <workbookView xWindow="-120" yWindow="-120" windowWidth="20640" windowHeight="11160" xr2:uid="{00000000-000D-0000-FFFF-FFFF00000000}"/>
  </bookViews>
  <sheets>
    <sheet name="CONCILIACION" sheetId="6" r:id="rId1"/>
    <sheet name="OF PTES" sheetId="7" r:id="rId2"/>
  </sheets>
  <definedNames>
    <definedName name="_xlnm._FilterDatabase" localSheetId="0" hidden="1">CONCILIACION!$B$4:$H$15</definedName>
    <definedName name="da">OFFSET(#REF!,0,0,COUNTA(#REF!),COUNTA(#REF!))</definedName>
    <definedName name="datomes">OFFSET(#REF!,0,0,COUNTA(#REF!),COUNTA(#REF!))</definedName>
    <definedName name="DO">OFFSET(#REF!,0,0,COUNTA(#REF!),COUNTA(#REF!))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" i="6" l="1"/>
  <c r="E20" i="6"/>
  <c r="D20" i="6"/>
  <c r="C20" i="6"/>
  <c r="E5" i="7"/>
  <c r="E13" i="7"/>
  <c r="F28" i="6" l="1"/>
  <c r="C22" i="6" l="1"/>
  <c r="E31" i="6" s="1"/>
  <c r="F31" i="6" l="1"/>
  <c r="F33" i="6" s="1"/>
</calcChain>
</file>

<file path=xl/sharedStrings.xml><?xml version="1.0" encoding="utf-8"?>
<sst xmlns="http://schemas.openxmlformats.org/spreadsheetml/2006/main" count="69" uniqueCount="43">
  <si>
    <t>Egresos</t>
  </si>
  <si>
    <t>CONCILIACION BANCARIA</t>
  </si>
  <si>
    <t>AJUSTES</t>
  </si>
  <si>
    <t>MES</t>
  </si>
  <si>
    <t>OBSERVACIONES</t>
  </si>
  <si>
    <t>Débito</t>
  </si>
  <si>
    <t>Crédito</t>
  </si>
  <si>
    <t>Subtotal</t>
  </si>
  <si>
    <r>
      <t xml:space="preserve">TOTAL                                                                                              </t>
    </r>
    <r>
      <rPr>
        <b/>
        <sz val="8"/>
        <rFont val="Arial"/>
        <family val="2"/>
      </rPr>
      <t>(1)-(2)-(3)+(4)</t>
    </r>
  </si>
  <si>
    <t>Sdo Inicial</t>
  </si>
  <si>
    <t>Ingresos</t>
  </si>
  <si>
    <t>Sdo Extrac</t>
  </si>
  <si>
    <t>No Acred</t>
  </si>
  <si>
    <t>No Deb</t>
  </si>
  <si>
    <t>Ajuste</t>
  </si>
  <si>
    <t>Sdo. Final</t>
  </si>
  <si>
    <t>Diferencia</t>
  </si>
  <si>
    <t>Sdo. Final Safyc</t>
  </si>
  <si>
    <t>Safyc</t>
  </si>
  <si>
    <t>Resumen Banco</t>
  </si>
  <si>
    <t>N° de Cheque/PE/cpte</t>
  </si>
  <si>
    <t>CHEQUE EN CIRCULACION 2019</t>
  </si>
  <si>
    <t>CUENTA</t>
  </si>
  <si>
    <t>SGP-RENTAS GRALES-PAGADORA</t>
  </si>
  <si>
    <t>CHEQUE EN CIRCULACION 2020</t>
  </si>
  <si>
    <t>CHEQUE EN CIRCULACION 2021</t>
  </si>
  <si>
    <t>CONCILIACION FEBRERO 2022</t>
  </si>
  <si>
    <t>Fecha</t>
  </si>
  <si>
    <t>Nro. de Referencia</t>
  </si>
  <si>
    <t>Causal</t>
  </si>
  <si>
    <t>Concepto</t>
  </si>
  <si>
    <t>Importe</t>
  </si>
  <si>
    <t>900032807</t>
  </si>
  <si>
    <t>1220</t>
  </si>
  <si>
    <t>OFICIO JUDICIAL Suc.:811</t>
  </si>
  <si>
    <t>900032699</t>
  </si>
  <si>
    <t>900032827</t>
  </si>
  <si>
    <t>900033277</t>
  </si>
  <si>
    <t>900031223</t>
  </si>
  <si>
    <t>900032356</t>
  </si>
  <si>
    <t>FEBRERO</t>
  </si>
  <si>
    <t>MARZO</t>
  </si>
  <si>
    <t>DEV PTE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</si>
</sst>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_-* #,##0.00\ _€_-;\-* #,##0.00\ _€_-;_-* &quot;-&quot;??\ _€_-;_-@_-"/>
    <numFmt numFmtId="165" formatCode="_(* #,##0.00_);_(* \(#,##0.00\);_(* &quot;-&quot;??_);_(@_)"/>
    <numFmt numFmtId="166" formatCode="[$$-2C0A]\ #,##0.00;[$$-2C0A]\ \-#,##0.00"/>
    <numFmt numFmtId="167" formatCode="_(&quot;$&quot;* #,##0.00_);_(&quot;$&quot;* \(#,##0.00\);_(&quot;$&quot;* &quot;-&quot;??_);_(@_)"/>
    <numFmt numFmtId="168" formatCode="\$\ #,##0.00;\$\ \-#,##0.00"/>
    <numFmt numFmtId="169" formatCode="&quot;$&quot;\ #,##0.00;&quot;$&quot;\ \-#,##0.00"/>
    <numFmt numFmtId="170" formatCode="dd/mm/yyyy;@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i/>
      <sz val="11"/>
      <color theme="1"/>
      <name val="Calibri"/>
      <family val="2"/>
      <scheme val="minor"/>
    </font>
    <font>
      <i/>
      <sz val="10"/>
      <name val="Arial"/>
      <family val="2"/>
    </font>
    <font>
      <b/>
      <sz val="10"/>
      <color indexed="8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9">
    <xf numFmtId="0" fontId="0" fillId="0" borderId="0"/>
    <xf numFmtId="0" fontId="7" fillId="0" borderId="0"/>
    <xf numFmtId="165" fontId="11" fillId="0" borderId="0" applyFont="0" applyFill="0" applyBorder="0" applyAlignment="0" applyProtection="0"/>
    <xf numFmtId="0" fontId="5" fillId="0" borderId="0"/>
    <xf numFmtId="0" fontId="13" fillId="0" borderId="0"/>
    <xf numFmtId="0" fontId="4" fillId="0" borderId="0"/>
    <xf numFmtId="0" fontId="7" fillId="0" borderId="0"/>
    <xf numFmtId="167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4" fillId="0" borderId="0"/>
    <xf numFmtId="0" fontId="7" fillId="0" borderId="0"/>
    <xf numFmtId="0" fontId="3" fillId="0" borderId="0"/>
    <xf numFmtId="0" fontId="3" fillId="0" borderId="0"/>
    <xf numFmtId="0" fontId="17" fillId="0" borderId="0" applyNumberFormat="0" applyFill="0" applyBorder="0" applyAlignment="0" applyProtection="0"/>
    <xf numFmtId="0" fontId="18" fillId="0" borderId="11" applyNumberFormat="0" applyFill="0" applyAlignment="0" applyProtection="0"/>
    <xf numFmtId="0" fontId="19" fillId="0" borderId="12" applyNumberFormat="0" applyFill="0" applyAlignment="0" applyProtection="0"/>
    <xf numFmtId="0" fontId="20" fillId="0" borderId="13" applyNumberFormat="0" applyFill="0" applyAlignment="0" applyProtection="0"/>
    <xf numFmtId="0" fontId="20" fillId="0" borderId="0" applyNumberFormat="0" applyFill="0" applyBorder="0" applyAlignment="0" applyProtection="0"/>
    <xf numFmtId="0" fontId="21" fillId="6" borderId="0" applyNumberFormat="0" applyBorder="0" applyAlignment="0" applyProtection="0"/>
    <xf numFmtId="0" fontId="22" fillId="7" borderId="0" applyNumberFormat="0" applyBorder="0" applyAlignment="0" applyProtection="0"/>
    <xf numFmtId="0" fontId="23" fillId="8" borderId="0" applyNumberFormat="0" applyBorder="0" applyAlignment="0" applyProtection="0"/>
    <xf numFmtId="0" fontId="24" fillId="9" borderId="14" applyNumberFormat="0" applyAlignment="0" applyProtection="0"/>
    <xf numFmtId="0" fontId="25" fillId="10" borderId="15" applyNumberFormat="0" applyAlignment="0" applyProtection="0"/>
    <xf numFmtId="0" fontId="26" fillId="10" borderId="14" applyNumberFormat="0" applyAlignment="0" applyProtection="0"/>
    <xf numFmtId="0" fontId="27" fillId="0" borderId="16" applyNumberFormat="0" applyFill="0" applyAlignment="0" applyProtection="0"/>
    <xf numFmtId="0" fontId="28" fillId="11" borderId="17" applyNumberFormat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6" fillId="0" borderId="19" applyNumberFormat="0" applyFill="0" applyAlignment="0" applyProtection="0"/>
    <xf numFmtId="0" fontId="3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31" fillId="20" borderId="0" applyNumberFormat="0" applyBorder="0" applyAlignment="0" applyProtection="0"/>
    <xf numFmtId="0" fontId="31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31" fillId="24" borderId="0" applyNumberFormat="0" applyBorder="0" applyAlignment="0" applyProtection="0"/>
    <xf numFmtId="0" fontId="31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31" fillId="28" borderId="0" applyNumberFormat="0" applyBorder="0" applyAlignment="0" applyProtection="0"/>
    <xf numFmtId="0" fontId="31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31" fillId="32" borderId="0" applyNumberFormat="0" applyBorder="0" applyAlignment="0" applyProtection="0"/>
    <xf numFmtId="0" fontId="31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31" fillId="36" borderId="0" applyNumberFormat="0" applyBorder="0" applyAlignment="0" applyProtection="0"/>
    <xf numFmtId="0" fontId="2" fillId="0" borderId="0"/>
    <xf numFmtId="0" fontId="2" fillId="0" borderId="0"/>
    <xf numFmtId="0" fontId="7" fillId="0" borderId="0"/>
    <xf numFmtId="0" fontId="2" fillId="12" borderId="18" applyNumberFormat="0" applyFont="0" applyAlignment="0" applyProtection="0"/>
    <xf numFmtId="0" fontId="1" fillId="0" borderId="0"/>
    <xf numFmtId="0" fontId="32" fillId="0" borderId="0"/>
  </cellStyleXfs>
  <cellXfs count="83">
    <xf numFmtId="0" fontId="0" fillId="0" borderId="0" xfId="0"/>
    <xf numFmtId="17" fontId="8" fillId="0" borderId="1" xfId="0" applyNumberFormat="1" applyFont="1" applyBorder="1" applyAlignment="1">
      <alignment vertical="center" wrapText="1"/>
    </xf>
    <xf numFmtId="0" fontId="0" fillId="0" borderId="0" xfId="0" applyFill="1"/>
    <xf numFmtId="0" fontId="8" fillId="0" borderId="8" xfId="0" applyFont="1" applyFill="1" applyBorder="1" applyAlignment="1">
      <alignment horizontal="center" vertical="center"/>
    </xf>
    <xf numFmtId="164" fontId="8" fillId="0" borderId="0" xfId="2" applyNumberFormat="1" applyFont="1" applyFill="1" applyBorder="1"/>
    <xf numFmtId="49" fontId="8" fillId="0" borderId="0" xfId="2" applyNumberFormat="1" applyFont="1" applyFill="1" applyBorder="1" applyAlignment="1">
      <alignment horizontal="center"/>
    </xf>
    <xf numFmtId="49" fontId="0" fillId="0" borderId="0" xfId="0" applyNumberFormat="1" applyFill="1" applyAlignment="1">
      <alignment horizontal="center"/>
    </xf>
    <xf numFmtId="0" fontId="8" fillId="0" borderId="0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49" fontId="8" fillId="0" borderId="0" xfId="0" applyNumberFormat="1" applyFont="1" applyFill="1" applyAlignment="1">
      <alignment horizontal="center"/>
    </xf>
    <xf numFmtId="0" fontId="5" fillId="0" borderId="0" xfId="3" applyBorder="1"/>
    <xf numFmtId="4" fontId="0" fillId="0" borderId="0" xfId="0" applyNumberFormat="1"/>
    <xf numFmtId="166" fontId="0" fillId="0" borderId="0" xfId="0" applyNumberFormat="1" applyFill="1"/>
    <xf numFmtId="4" fontId="0" fillId="0" borderId="0" xfId="0" applyNumberFormat="1" applyAlignment="1">
      <alignment horizontal="right"/>
    </xf>
    <xf numFmtId="0" fontId="0" fillId="0" borderId="0" xfId="0" applyNumberFormat="1" applyAlignment="1">
      <alignment horizontal="center"/>
    </xf>
    <xf numFmtId="164" fontId="8" fillId="0" borderId="1" xfId="2" applyNumberFormat="1" applyFont="1" applyBorder="1" applyAlignment="1">
      <alignment horizontal="center" vertical="center"/>
    </xf>
    <xf numFmtId="4" fontId="0" fillId="0" borderId="1" xfId="2" applyNumberFormat="1" applyFont="1" applyFill="1" applyBorder="1" applyAlignment="1">
      <alignment horizontal="right" vertical="center"/>
    </xf>
    <xf numFmtId="4" fontId="0" fillId="0" borderId="0" xfId="2" applyNumberFormat="1" applyFont="1" applyBorder="1" applyAlignment="1">
      <alignment horizontal="right" vertical="center"/>
    </xf>
    <xf numFmtId="4" fontId="0" fillId="0" borderId="0" xfId="2" applyNumberFormat="1" applyFont="1" applyAlignment="1">
      <alignment horizontal="right" vertical="center"/>
    </xf>
    <xf numFmtId="164" fontId="0" fillId="0" borderId="0" xfId="2" applyNumberFormat="1" applyFont="1" applyAlignment="1">
      <alignment horizontal="right" vertical="center"/>
    </xf>
    <xf numFmtId="164" fontId="8" fillId="0" borderId="1" xfId="2" applyNumberFormat="1" applyFont="1" applyBorder="1" applyAlignment="1">
      <alignment horizontal="right" vertical="center"/>
    </xf>
    <xf numFmtId="164" fontId="8" fillId="0" borderId="8" xfId="2" applyNumberFormat="1" applyFont="1" applyFill="1" applyBorder="1" applyAlignment="1">
      <alignment horizontal="right" vertical="center"/>
    </xf>
    <xf numFmtId="164" fontId="8" fillId="0" borderId="9" xfId="2" applyNumberFormat="1" applyFont="1" applyFill="1" applyBorder="1" applyAlignment="1">
      <alignment horizontal="right" vertical="center"/>
    </xf>
    <xf numFmtId="164" fontId="8" fillId="0" borderId="0" xfId="2" applyNumberFormat="1" applyFont="1" applyFill="1" applyBorder="1" applyAlignment="1">
      <alignment horizontal="right" vertical="center"/>
    </xf>
    <xf numFmtId="164" fontId="0" fillId="0" borderId="0" xfId="2" applyNumberFormat="1" applyFont="1" applyFill="1" applyAlignment="1">
      <alignment horizontal="right" vertical="center"/>
    </xf>
    <xf numFmtId="164" fontId="0" fillId="0" borderId="0" xfId="2" applyNumberFormat="1" applyFont="1" applyFill="1" applyBorder="1" applyAlignment="1">
      <alignment horizontal="right" vertical="center"/>
    </xf>
    <xf numFmtId="0" fontId="8" fillId="0" borderId="0" xfId="0" applyFont="1" applyBorder="1" applyAlignment="1">
      <alignment horizontal="right" vertical="center"/>
    </xf>
    <xf numFmtId="4" fontId="5" fillId="0" borderId="0" xfId="3" applyNumberFormat="1" applyBorder="1" applyAlignment="1">
      <alignment horizontal="right" vertical="center"/>
    </xf>
    <xf numFmtId="0" fontId="10" fillId="3" borderId="10" xfId="0" applyFont="1" applyFill="1" applyBorder="1" applyAlignment="1">
      <alignment horizontal="center"/>
    </xf>
    <xf numFmtId="0" fontId="10" fillId="3" borderId="10" xfId="0" applyFont="1" applyFill="1" applyBorder="1" applyAlignment="1">
      <alignment horizontal="right" vertical="center"/>
    </xf>
    <xf numFmtId="4" fontId="0" fillId="0" borderId="1" xfId="2" applyNumberFormat="1" applyFont="1" applyBorder="1" applyAlignment="1">
      <alignment horizontal="right" vertical="center"/>
    </xf>
    <xf numFmtId="4" fontId="8" fillId="5" borderId="10" xfId="0" applyNumberFormat="1" applyFont="1" applyFill="1" applyBorder="1" applyAlignment="1">
      <alignment horizontal="center"/>
    </xf>
    <xf numFmtId="4" fontId="8" fillId="5" borderId="10" xfId="2" applyNumberFormat="1" applyFont="1" applyFill="1" applyBorder="1" applyAlignment="1">
      <alignment horizontal="right" vertical="center"/>
    </xf>
    <xf numFmtId="0" fontId="8" fillId="5" borderId="10" xfId="0" applyFont="1" applyFill="1" applyBorder="1" applyAlignment="1">
      <alignment horizontal="right" vertical="center"/>
    </xf>
    <xf numFmtId="164" fontId="8" fillId="0" borderId="3" xfId="2" applyNumberFormat="1" applyFont="1" applyBorder="1" applyAlignment="1">
      <alignment horizontal="right" vertical="center"/>
    </xf>
    <xf numFmtId="164" fontId="8" fillId="0" borderId="5" xfId="2" applyNumberFormat="1" applyFont="1" applyBorder="1" applyAlignment="1">
      <alignment horizontal="right" vertical="center"/>
    </xf>
    <xf numFmtId="0" fontId="8" fillId="4" borderId="6" xfId="0" applyFont="1" applyFill="1" applyBorder="1" applyAlignment="1">
      <alignment horizontal="center" vertical="center" wrapText="1"/>
    </xf>
    <xf numFmtId="164" fontId="8" fillId="4" borderId="6" xfId="2" applyNumberFormat="1" applyFont="1" applyFill="1" applyBorder="1" applyAlignment="1">
      <alignment horizontal="right" vertical="center" wrapText="1"/>
    </xf>
    <xf numFmtId="164" fontId="8" fillId="4" borderId="1" xfId="2" applyNumberFormat="1" applyFont="1" applyFill="1" applyBorder="1" applyAlignment="1">
      <alignment horizontal="right" vertical="center"/>
    </xf>
    <xf numFmtId="49" fontId="8" fillId="4" borderId="1" xfId="2" applyNumberFormat="1" applyFont="1" applyFill="1" applyBorder="1" applyAlignment="1">
      <alignment horizontal="center"/>
    </xf>
    <xf numFmtId="164" fontId="8" fillId="4" borderId="1" xfId="2" applyNumberFormat="1" applyFont="1" applyFill="1" applyBorder="1"/>
    <xf numFmtId="1" fontId="8" fillId="0" borderId="1" xfId="2" applyNumberFormat="1" applyFont="1" applyBorder="1" applyAlignment="1">
      <alignment horizontal="right" vertical="center"/>
    </xf>
    <xf numFmtId="49" fontId="8" fillId="0" borderId="1" xfId="0" applyNumberFormat="1" applyFont="1" applyFill="1" applyBorder="1" applyAlignment="1">
      <alignment horizontal="left" vertical="center"/>
    </xf>
    <xf numFmtId="0" fontId="8" fillId="0" borderId="1" xfId="0" applyFont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49" fontId="12" fillId="0" borderId="1" xfId="2" applyNumberFormat="1" applyFont="1" applyFill="1" applyBorder="1" applyAlignment="1">
      <alignment horizontal="center"/>
    </xf>
    <xf numFmtId="164" fontId="7" fillId="0" borderId="1" xfId="2" applyNumberFormat="1" applyFont="1" applyFill="1" applyBorder="1" applyAlignment="1"/>
    <xf numFmtId="164" fontId="7" fillId="0" borderId="1" xfId="2" applyNumberFormat="1" applyFont="1" applyFill="1" applyBorder="1" applyAlignment="1">
      <alignment horizontal="left"/>
    </xf>
    <xf numFmtId="4" fontId="8" fillId="0" borderId="0" xfId="0" applyNumberFormat="1" applyFont="1" applyBorder="1" applyAlignment="1">
      <alignment horizontal="right" vertical="center"/>
    </xf>
    <xf numFmtId="1" fontId="14" fillId="0" borderId="0" xfId="0" applyNumberFormat="1" applyFont="1"/>
    <xf numFmtId="43" fontId="14" fillId="0" borderId="0" xfId="0" applyNumberFormat="1" applyFont="1"/>
    <xf numFmtId="4" fontId="0" fillId="0" borderId="0" xfId="0" applyNumberFormat="1" applyAlignment="1">
      <alignment horizontal="center"/>
    </xf>
    <xf numFmtId="0" fontId="2" fillId="0" borderId="0" xfId="54"/>
    <xf numFmtId="4" fontId="2" fillId="0" borderId="0" xfId="54" applyNumberFormat="1"/>
    <xf numFmtId="168" fontId="15" fillId="0" borderId="0" xfId="1" applyNumberFormat="1" applyFont="1" applyBorder="1" applyAlignment="1" applyProtection="1">
      <alignment vertical="top"/>
    </xf>
    <xf numFmtId="4" fontId="7" fillId="0" borderId="0" xfId="2" applyNumberFormat="1" applyFont="1" applyAlignment="1">
      <alignment horizontal="right" vertical="center"/>
    </xf>
    <xf numFmtId="4" fontId="0" fillId="0" borderId="0" xfId="0" applyNumberFormat="1" applyFill="1"/>
    <xf numFmtId="169" fontId="15" fillId="0" borderId="0" xfId="1" applyNumberFormat="1" applyFont="1" applyBorder="1" applyAlignment="1" applyProtection="1">
      <alignment vertical="top"/>
    </xf>
    <xf numFmtId="0" fontId="0" fillId="0" borderId="0" xfId="0"/>
    <xf numFmtId="4" fontId="33" fillId="0" borderId="1" xfId="3" applyNumberFormat="1" applyFont="1" applyBorder="1"/>
    <xf numFmtId="4" fontId="33" fillId="0" borderId="1" xfId="3" applyNumberFormat="1" applyFont="1" applyBorder="1" applyAlignment="1">
      <alignment horizontal="right" vertical="center"/>
    </xf>
    <xf numFmtId="4" fontId="34" fillId="0" borderId="1" xfId="2" applyNumberFormat="1" applyFont="1" applyBorder="1" applyAlignment="1">
      <alignment horizontal="right" vertical="center"/>
    </xf>
    <xf numFmtId="169" fontId="35" fillId="0" borderId="0" xfId="0" applyNumberFormat="1" applyFont="1" applyBorder="1" applyAlignment="1" applyProtection="1">
      <alignment vertical="top"/>
    </xf>
    <xf numFmtId="164" fontId="7" fillId="0" borderId="20" xfId="2" applyNumberFormat="1" applyFont="1" applyFill="1" applyBorder="1" applyAlignment="1">
      <alignment horizontal="left"/>
    </xf>
    <xf numFmtId="170" fontId="0" fillId="0" borderId="0" xfId="0" applyNumberFormat="1"/>
    <xf numFmtId="170" fontId="0" fillId="0" borderId="1" xfId="0" applyNumberFormat="1" applyBorder="1"/>
    <xf numFmtId="0" fontId="0" fillId="0" borderId="1" xfId="0" applyBorder="1"/>
    <xf numFmtId="4" fontId="0" fillId="0" borderId="1" xfId="0" applyNumberFormat="1" applyBorder="1"/>
    <xf numFmtId="0" fontId="7" fillId="0" borderId="0" xfId="0" applyFont="1"/>
    <xf numFmtId="169" fontId="15" fillId="0" borderId="0" xfId="1" applyNumberFormat="1" applyFont="1" applyBorder="1" applyAlignment="1" applyProtection="1">
      <alignment horizontal="right" vertical="top"/>
    </xf>
    <xf numFmtId="0" fontId="8" fillId="4" borderId="1" xfId="0" applyFont="1" applyFill="1" applyBorder="1" applyAlignment="1">
      <alignment horizontal="center" vertical="center"/>
    </xf>
    <xf numFmtId="164" fontId="8" fillId="5" borderId="2" xfId="2" applyNumberFormat="1" applyFont="1" applyFill="1" applyBorder="1" applyAlignment="1">
      <alignment horizontal="center" vertical="center"/>
    </xf>
    <xf numFmtId="164" fontId="8" fillId="5" borderId="7" xfId="2" applyNumberFormat="1" applyFont="1" applyFill="1" applyBorder="1" applyAlignment="1">
      <alignment horizontal="center" vertical="center"/>
    </xf>
    <xf numFmtId="164" fontId="10" fillId="3" borderId="2" xfId="2" applyNumberFormat="1" applyFont="1" applyFill="1" applyBorder="1" applyAlignment="1">
      <alignment horizontal="center" vertical="center"/>
    </xf>
    <xf numFmtId="164" fontId="10" fillId="3" borderId="7" xfId="2" applyNumberFormat="1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left" vertical="center"/>
    </xf>
    <xf numFmtId="0" fontId="9" fillId="2" borderId="4" xfId="0" applyFont="1" applyFill="1" applyBorder="1" applyAlignment="1">
      <alignment horizontal="left" vertical="center"/>
    </xf>
    <xf numFmtId="164" fontId="8" fillId="4" borderId="2" xfId="2" applyNumberFormat="1" applyFont="1" applyFill="1" applyBorder="1" applyAlignment="1">
      <alignment horizontal="center" vertical="center"/>
    </xf>
    <xf numFmtId="164" fontId="8" fillId="4" borderId="8" xfId="2" applyNumberFormat="1" applyFont="1" applyFill="1" applyBorder="1" applyAlignment="1">
      <alignment horizontal="center" vertical="center"/>
    </xf>
    <xf numFmtId="164" fontId="8" fillId="4" borderId="7" xfId="2" applyNumberFormat="1" applyFont="1" applyFill="1" applyBorder="1" applyAlignment="1">
      <alignment horizontal="center" vertical="center"/>
    </xf>
    <xf numFmtId="49" fontId="8" fillId="4" borderId="1" xfId="2" applyNumberFormat="1" applyFont="1" applyFill="1" applyBorder="1" applyAlignment="1">
      <alignment horizontal="center" vertical="center" wrapText="1"/>
    </xf>
    <xf numFmtId="4" fontId="0" fillId="0" borderId="1" xfId="8" applyNumberFormat="1" applyFont="1" applyFill="1" applyBorder="1" applyAlignment="1">
      <alignment horizontal="right" vertical="center"/>
    </xf>
    <xf numFmtId="49" fontId="7" fillId="0" borderId="1" xfId="8" applyNumberFormat="1" applyFont="1" applyFill="1" applyBorder="1" applyAlignment="1">
      <alignment horizontal="center"/>
    </xf>
  </cellXfs>
  <cellStyles count="59">
    <cellStyle name="20% - Énfasis1" xfId="30" builtinId="30" customBuiltin="1"/>
    <cellStyle name="20% - Énfasis2" xfId="34" builtinId="34" customBuiltin="1"/>
    <cellStyle name="20% - Énfasis3" xfId="38" builtinId="38" customBuiltin="1"/>
    <cellStyle name="20% - Énfasis4" xfId="42" builtinId="42" customBuiltin="1"/>
    <cellStyle name="20% - Énfasis5" xfId="46" builtinId="46" customBuiltin="1"/>
    <cellStyle name="20% - Énfasis6" xfId="50" builtinId="50" customBuiltin="1"/>
    <cellStyle name="40% - Énfasis1" xfId="31" builtinId="31" customBuiltin="1"/>
    <cellStyle name="40% - Énfasis2" xfId="35" builtinId="35" customBuiltin="1"/>
    <cellStyle name="40% - Énfasis3" xfId="39" builtinId="39" customBuiltin="1"/>
    <cellStyle name="40% - Énfasis4" xfId="43" builtinId="43" customBuiltin="1"/>
    <cellStyle name="40% - Énfasis5" xfId="47" builtinId="47" customBuiltin="1"/>
    <cellStyle name="40% - Énfasis6" xfId="51" builtinId="51" customBuiltin="1"/>
    <cellStyle name="60% - Énfasis1" xfId="32" builtinId="32" customBuiltin="1"/>
    <cellStyle name="60% - Énfasis2" xfId="36" builtinId="36" customBuiltin="1"/>
    <cellStyle name="60% - Énfasis3" xfId="40" builtinId="40" customBuiltin="1"/>
    <cellStyle name="60% - Énfasis4" xfId="44" builtinId="44" customBuiltin="1"/>
    <cellStyle name="60% - Énfasis5" xfId="48" builtinId="48" customBuiltin="1"/>
    <cellStyle name="60% - Énfasis6" xfId="52" builtinId="52" customBuiltin="1"/>
    <cellStyle name="Bueno" xfId="18" builtinId="26" customBuiltin="1"/>
    <cellStyle name="Cálculo" xfId="23" builtinId="22" customBuiltin="1"/>
    <cellStyle name="Celda de comprobación" xfId="25" builtinId="23" customBuiltin="1"/>
    <cellStyle name="Celda vinculada" xfId="24" builtinId="24" customBuiltin="1"/>
    <cellStyle name="Encabezado 1" xfId="14" builtinId="16" customBuiltin="1"/>
    <cellStyle name="Encabezado 4" xfId="17" builtinId="19" customBuiltin="1"/>
    <cellStyle name="Énfasis1" xfId="29" builtinId="29" customBuiltin="1"/>
    <cellStyle name="Énfasis2" xfId="33" builtinId="33" customBuiltin="1"/>
    <cellStyle name="Énfasis3" xfId="37" builtinId="37" customBuiltin="1"/>
    <cellStyle name="Énfasis4" xfId="41" builtinId="41" customBuiltin="1"/>
    <cellStyle name="Énfasis5" xfId="45" builtinId="45" customBuiltin="1"/>
    <cellStyle name="Énfasis6" xfId="49" builtinId="49" customBuiltin="1"/>
    <cellStyle name="Entrada" xfId="21" builtinId="20" customBuiltin="1"/>
    <cellStyle name="Incorrecto" xfId="19" builtinId="27" customBuiltin="1"/>
    <cellStyle name="Millares" xfId="2" builtinId="3"/>
    <cellStyle name="Millares 2" xfId="8" xr:uid="{00000000-0005-0000-0000-000021000000}"/>
    <cellStyle name="Moneda 2" xfId="7" xr:uid="{00000000-0005-0000-0000-000022000000}"/>
    <cellStyle name="Neutral" xfId="20" builtinId="28" customBuiltin="1"/>
    <cellStyle name="Normal" xfId="0" builtinId="0"/>
    <cellStyle name="Normal 2" xfId="1" xr:uid="{00000000-0005-0000-0000-000025000000}"/>
    <cellStyle name="Normal 2 2" xfId="4" xr:uid="{00000000-0005-0000-0000-000026000000}"/>
    <cellStyle name="Normal 2 2 2" xfId="10" xr:uid="{00000000-0005-0000-0000-000027000000}"/>
    <cellStyle name="Normal 2 3" xfId="58" xr:uid="{41762707-DE04-43D9-90CC-7C64F7D2FA5B}"/>
    <cellStyle name="Normal 3" xfId="6" xr:uid="{00000000-0005-0000-0000-000028000000}"/>
    <cellStyle name="Normal 4" xfId="3" xr:uid="{00000000-0005-0000-0000-000029000000}"/>
    <cellStyle name="Normal 4 2" xfId="9" xr:uid="{00000000-0005-0000-0000-00002A000000}"/>
    <cellStyle name="Normal 4 3" xfId="12" xr:uid="{00000000-0005-0000-0000-00002B000000}"/>
    <cellStyle name="Normal 4 4" xfId="54" xr:uid="{00000000-0005-0000-0000-00002C000000}"/>
    <cellStyle name="Normal 5" xfId="5" xr:uid="{00000000-0005-0000-0000-00002D000000}"/>
    <cellStyle name="Normal 5 2" xfId="55" xr:uid="{00000000-0005-0000-0000-00002E000000}"/>
    <cellStyle name="Normal 6" xfId="11" xr:uid="{00000000-0005-0000-0000-00002F000000}"/>
    <cellStyle name="Normal 7" xfId="53" xr:uid="{00000000-0005-0000-0000-000030000000}"/>
    <cellStyle name="Normal 8" xfId="57" xr:uid="{24A0A3AD-388B-43E1-A2A5-F71C4DB9AFEC}"/>
    <cellStyle name="Notas 2" xfId="56" xr:uid="{00000000-0005-0000-0000-000031000000}"/>
    <cellStyle name="Salida" xfId="22" builtinId="21" customBuiltin="1"/>
    <cellStyle name="Texto de advertencia" xfId="26" builtinId="11" customBuiltin="1"/>
    <cellStyle name="Texto explicativo" xfId="27" builtinId="53" customBuiltin="1"/>
    <cellStyle name="Título" xfId="13" builtinId="15" customBuiltin="1"/>
    <cellStyle name="Título 2" xfId="15" builtinId="17" customBuiltin="1"/>
    <cellStyle name="Título 3" xfId="16" builtinId="18" customBuiltin="1"/>
    <cellStyle name="Total" xfId="28" builtinId="25" customBuiltin="1"/>
  </cellStyles>
  <dxfs count="0"/>
  <tableStyles count="0" defaultTableStyle="TableStyleMedium9" defaultPivotStyle="PivotStyleLight16"/>
  <colors>
    <mruColors>
      <color rgb="FF43CE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K40"/>
  <sheetViews>
    <sheetView tabSelected="1" zoomScaleNormal="100" workbookViewId="0">
      <pane ySplit="6" topLeftCell="A14" activePane="bottomLeft" state="frozen"/>
      <selection pane="bottomLeft" activeCell="H20" sqref="H20"/>
    </sheetView>
  </sheetViews>
  <sheetFormatPr baseColWidth="10" defaultRowHeight="12.75" x14ac:dyDescent="0.2"/>
  <cols>
    <col min="1" max="1" width="3.42578125" customWidth="1"/>
    <col min="2" max="2" width="18.28515625" customWidth="1"/>
    <col min="3" max="3" width="18.140625" bestFit="1" customWidth="1"/>
    <col min="4" max="4" width="19.140625" bestFit="1" customWidth="1"/>
    <col min="5" max="6" width="18.140625" bestFit="1" customWidth="1"/>
    <col min="7" max="7" width="16.7109375" customWidth="1"/>
    <col min="8" max="8" width="47.5703125" bestFit="1" customWidth="1"/>
    <col min="11" max="11" width="12.85546875" bestFit="1" customWidth="1"/>
  </cols>
  <sheetData>
    <row r="1" spans="2:8" ht="13.5" thickBot="1" x14ac:dyDescent="0.25">
      <c r="C1" s="19"/>
      <c r="D1" s="19"/>
      <c r="E1" s="19"/>
      <c r="F1" s="19"/>
      <c r="G1" s="6"/>
    </row>
    <row r="2" spans="2:8" ht="18.75" thickBot="1" x14ac:dyDescent="0.25">
      <c r="B2" s="75" t="s">
        <v>1</v>
      </c>
      <c r="C2" s="76"/>
      <c r="D2" s="76"/>
      <c r="E2" s="20" t="s">
        <v>22</v>
      </c>
      <c r="F2" s="41">
        <v>360000003873122</v>
      </c>
      <c r="G2" s="42" t="s">
        <v>23</v>
      </c>
      <c r="H2" s="43"/>
    </row>
    <row r="3" spans="2:8" x14ac:dyDescent="0.2">
      <c r="C3" s="19"/>
      <c r="D3" s="19"/>
      <c r="E3" s="19"/>
      <c r="F3" s="19"/>
      <c r="G3" s="6"/>
    </row>
    <row r="4" spans="2:8" x14ac:dyDescent="0.2">
      <c r="B4" s="70" t="s">
        <v>3</v>
      </c>
      <c r="C4" s="77" t="s">
        <v>2</v>
      </c>
      <c r="D4" s="78"/>
      <c r="E4" s="78"/>
      <c r="F4" s="79"/>
      <c r="G4" s="80" t="s">
        <v>20</v>
      </c>
      <c r="H4" s="70" t="s">
        <v>4</v>
      </c>
    </row>
    <row r="5" spans="2:8" x14ac:dyDescent="0.2">
      <c r="B5" s="70"/>
      <c r="C5" s="71" t="s">
        <v>19</v>
      </c>
      <c r="D5" s="72"/>
      <c r="E5" s="73" t="s">
        <v>18</v>
      </c>
      <c r="F5" s="74"/>
      <c r="G5" s="80"/>
      <c r="H5" s="70"/>
    </row>
    <row r="6" spans="2:8" x14ac:dyDescent="0.2">
      <c r="B6" s="70"/>
      <c r="C6" s="15" t="s">
        <v>5</v>
      </c>
      <c r="D6" s="15" t="s">
        <v>6</v>
      </c>
      <c r="E6" s="15" t="s">
        <v>5</v>
      </c>
      <c r="F6" s="15" t="s">
        <v>6</v>
      </c>
      <c r="G6" s="80"/>
      <c r="H6" s="70"/>
    </row>
    <row r="7" spans="2:8" x14ac:dyDescent="0.2">
      <c r="B7" s="1">
        <v>44166</v>
      </c>
      <c r="C7" s="16"/>
      <c r="D7" s="16"/>
      <c r="E7" s="16">
        <v>16048.5</v>
      </c>
      <c r="F7" s="16"/>
      <c r="G7" s="45">
        <v>7687504</v>
      </c>
      <c r="H7" s="46" t="s">
        <v>21</v>
      </c>
    </row>
    <row r="8" spans="2:8" x14ac:dyDescent="0.2">
      <c r="B8" s="1">
        <v>44166</v>
      </c>
      <c r="C8" s="16"/>
      <c r="D8" s="16"/>
      <c r="E8" s="16">
        <v>18801.07</v>
      </c>
      <c r="F8" s="16"/>
      <c r="G8" s="45">
        <v>7687568</v>
      </c>
      <c r="H8" s="46" t="s">
        <v>21</v>
      </c>
    </row>
    <row r="9" spans="2:8" s="58" customFormat="1" x14ac:dyDescent="0.2">
      <c r="B9" s="1">
        <v>44166</v>
      </c>
      <c r="C9" s="16"/>
      <c r="D9" s="16"/>
      <c r="E9" s="16">
        <v>3457.73</v>
      </c>
      <c r="F9" s="16"/>
      <c r="G9" s="45">
        <v>7687685</v>
      </c>
      <c r="H9" s="47" t="s">
        <v>24</v>
      </c>
    </row>
    <row r="10" spans="2:8" s="58" customFormat="1" x14ac:dyDescent="0.2">
      <c r="B10" s="1">
        <v>44166</v>
      </c>
      <c r="C10" s="16"/>
      <c r="D10" s="16"/>
      <c r="E10" s="16">
        <v>15815</v>
      </c>
      <c r="F10" s="16"/>
      <c r="G10" s="45">
        <v>7687694</v>
      </c>
      <c r="H10" s="47" t="s">
        <v>24</v>
      </c>
    </row>
    <row r="11" spans="2:8" s="58" customFormat="1" x14ac:dyDescent="0.2">
      <c r="B11" s="1">
        <v>44166</v>
      </c>
      <c r="C11" s="16"/>
      <c r="D11" s="16"/>
      <c r="E11" s="16">
        <v>48072.26</v>
      </c>
      <c r="F11" s="16"/>
      <c r="G11" s="45">
        <v>7687722</v>
      </c>
      <c r="H11" s="47" t="s">
        <v>24</v>
      </c>
    </row>
    <row r="12" spans="2:8" s="58" customFormat="1" x14ac:dyDescent="0.2">
      <c r="B12" s="1">
        <v>44166</v>
      </c>
      <c r="C12" s="16"/>
      <c r="D12" s="16"/>
      <c r="E12" s="81">
        <v>32641.489999999998</v>
      </c>
      <c r="F12" s="81"/>
      <c r="G12" s="82">
        <v>7687767</v>
      </c>
      <c r="H12" s="47" t="s">
        <v>24</v>
      </c>
    </row>
    <row r="13" spans="2:8" s="58" customFormat="1" x14ac:dyDescent="0.2">
      <c r="B13" s="1">
        <v>44166</v>
      </c>
      <c r="C13" s="16"/>
      <c r="D13" s="16"/>
      <c r="E13" s="16">
        <v>24768</v>
      </c>
      <c r="F13" s="16"/>
      <c r="G13" s="45">
        <v>7687753</v>
      </c>
      <c r="H13" s="47" t="s">
        <v>24</v>
      </c>
    </row>
    <row r="14" spans="2:8" s="58" customFormat="1" x14ac:dyDescent="0.2">
      <c r="B14" s="1">
        <v>44166</v>
      </c>
      <c r="C14" s="16"/>
      <c r="D14" s="16"/>
      <c r="E14" s="16">
        <v>3689.25</v>
      </c>
      <c r="F14" s="16"/>
      <c r="G14" s="45">
        <v>7687754</v>
      </c>
      <c r="H14" s="47" t="s">
        <v>24</v>
      </c>
    </row>
    <row r="15" spans="2:8" s="58" customFormat="1" x14ac:dyDescent="0.2">
      <c r="B15" s="1">
        <v>44166</v>
      </c>
      <c r="C15" s="16"/>
      <c r="D15" s="16"/>
      <c r="E15" s="16">
        <v>22164.62</v>
      </c>
      <c r="F15" s="16"/>
      <c r="G15" s="45">
        <v>7687770</v>
      </c>
      <c r="H15" s="47" t="s">
        <v>24</v>
      </c>
    </row>
    <row r="16" spans="2:8" s="58" customFormat="1" x14ac:dyDescent="0.2">
      <c r="B16" s="1">
        <v>44531</v>
      </c>
      <c r="C16" s="16"/>
      <c r="D16" s="16"/>
      <c r="E16" s="16">
        <v>55341.56</v>
      </c>
      <c r="F16" s="16"/>
      <c r="G16" s="45">
        <v>7687813</v>
      </c>
      <c r="H16" s="47" t="s">
        <v>25</v>
      </c>
    </row>
    <row r="17" spans="1:11" s="58" customFormat="1" x14ac:dyDescent="0.2">
      <c r="B17" s="1">
        <v>44531</v>
      </c>
      <c r="C17" s="16"/>
      <c r="D17" s="16"/>
      <c r="E17" s="16">
        <v>18165.599999999999</v>
      </c>
      <c r="F17" s="16"/>
      <c r="G17" s="45">
        <v>7687891</v>
      </c>
      <c r="H17" s="47" t="s">
        <v>25</v>
      </c>
    </row>
    <row r="18" spans="1:11" s="58" customFormat="1" x14ac:dyDescent="0.2">
      <c r="B18" s="1">
        <v>44531</v>
      </c>
      <c r="C18" s="16"/>
      <c r="D18" s="16"/>
      <c r="E18" s="16">
        <v>321273.92</v>
      </c>
      <c r="F18" s="16"/>
      <c r="G18" s="45">
        <v>7687903</v>
      </c>
      <c r="H18" s="47" t="s">
        <v>25</v>
      </c>
    </row>
    <row r="19" spans="1:11" s="58" customFormat="1" x14ac:dyDescent="0.2">
      <c r="B19" s="1"/>
      <c r="C19" s="16"/>
      <c r="D19" s="16">
        <v>200</v>
      </c>
      <c r="E19" s="16"/>
      <c r="F19" s="16"/>
      <c r="G19" s="45"/>
      <c r="H19" s="63" t="s">
        <v>42</v>
      </c>
    </row>
    <row r="20" spans="1:11" x14ac:dyDescent="0.2">
      <c r="A20" s="2"/>
      <c r="B20" s="44" t="s">
        <v>7</v>
      </c>
      <c r="C20" s="38">
        <f>SUM(C7:C19)</f>
        <v>0</v>
      </c>
      <c r="D20" s="38">
        <f>SUM(D7:D19)</f>
        <v>200</v>
      </c>
      <c r="E20" s="38">
        <f>SUM(E7:E19)</f>
        <v>580239</v>
      </c>
      <c r="F20" s="38">
        <f>SUM(F7:F19)</f>
        <v>0</v>
      </c>
      <c r="G20" s="39"/>
      <c r="H20" s="40"/>
    </row>
    <row r="21" spans="1:11" x14ac:dyDescent="0.2">
      <c r="A21" s="2"/>
      <c r="B21" s="3"/>
      <c r="C21" s="21"/>
      <c r="D21" s="22"/>
      <c r="E21" s="22"/>
      <c r="F21" s="23"/>
      <c r="G21" s="5"/>
      <c r="H21" s="4"/>
    </row>
    <row r="22" spans="1:11" ht="24" x14ac:dyDescent="0.2">
      <c r="A22" s="2"/>
      <c r="B22" s="36" t="s">
        <v>8</v>
      </c>
      <c r="C22" s="37">
        <f>+C20-D20-E20+F20</f>
        <v>-580439</v>
      </c>
      <c r="D22" s="23"/>
      <c r="E22" s="23"/>
      <c r="F22" s="23"/>
      <c r="G22" s="6"/>
      <c r="H22" s="4"/>
    </row>
    <row r="23" spans="1:11" x14ac:dyDescent="0.2">
      <c r="A23" s="2"/>
      <c r="B23" s="2"/>
      <c r="C23" s="24"/>
      <c r="D23" s="25"/>
      <c r="E23" s="25"/>
      <c r="F23" s="25"/>
      <c r="G23" s="49"/>
      <c r="H23" s="49"/>
      <c r="I23" s="49"/>
      <c r="J23" s="50"/>
      <c r="K23" s="50"/>
    </row>
    <row r="24" spans="1:11" x14ac:dyDescent="0.2">
      <c r="A24" s="2"/>
      <c r="B24" s="2"/>
      <c r="C24" s="24"/>
      <c r="D24" s="57"/>
      <c r="E24" s="62"/>
      <c r="F24" s="62"/>
      <c r="G24" s="49"/>
      <c r="H24" s="49"/>
      <c r="I24" s="49"/>
      <c r="J24" s="50"/>
      <c r="K24" s="50"/>
    </row>
    <row r="25" spans="1:11" x14ac:dyDescent="0.2">
      <c r="A25" s="2"/>
      <c r="B25" s="7" t="s">
        <v>26</v>
      </c>
      <c r="C25" s="48"/>
      <c r="D25" s="48"/>
      <c r="E25" s="48"/>
      <c r="F25" s="26"/>
      <c r="G25" s="49"/>
      <c r="H25" s="49"/>
      <c r="I25" s="49"/>
      <c r="J25" s="50"/>
      <c r="K25" s="50"/>
    </row>
    <row r="26" spans="1:11" ht="13.5" thickBot="1" x14ac:dyDescent="0.25">
      <c r="A26" s="2"/>
      <c r="B26" s="8"/>
      <c r="C26" s="48"/>
      <c r="D26" s="48"/>
      <c r="E26" s="48"/>
      <c r="F26" s="26"/>
      <c r="G26" s="49"/>
      <c r="H26" s="49"/>
      <c r="I26" s="49"/>
      <c r="J26" s="50"/>
      <c r="K26" s="50"/>
    </row>
    <row r="27" spans="1:11" ht="15" x14ac:dyDescent="0.25">
      <c r="A27" s="2"/>
      <c r="B27" s="28" t="s">
        <v>9</v>
      </c>
      <c r="C27" s="29" t="s">
        <v>10</v>
      </c>
      <c r="D27" s="29" t="s">
        <v>0</v>
      </c>
      <c r="E27" s="33"/>
      <c r="F27" s="29" t="s">
        <v>17</v>
      </c>
      <c r="G27" s="9"/>
      <c r="H27" s="52"/>
    </row>
    <row r="28" spans="1:11" ht="15" x14ac:dyDescent="0.25">
      <c r="A28" s="2"/>
      <c r="B28" s="59">
        <v>571609590.72000003</v>
      </c>
      <c r="C28" s="60">
        <v>23560578936.029999</v>
      </c>
      <c r="D28" s="60">
        <v>23548295987.099998</v>
      </c>
      <c r="E28" s="30"/>
      <c r="F28" s="30">
        <f>B28+C28-D28</f>
        <v>583892539.65000153</v>
      </c>
      <c r="G28" s="11"/>
      <c r="H28" s="12"/>
    </row>
    <row r="29" spans="1:11" ht="15.75" thickBot="1" x14ac:dyDescent="0.3">
      <c r="A29" s="2"/>
      <c r="B29" s="10"/>
      <c r="C29" s="27"/>
      <c r="D29" s="27"/>
      <c r="E29" s="17"/>
      <c r="F29" s="17"/>
      <c r="G29" s="11"/>
      <c r="H29" s="12"/>
    </row>
    <row r="30" spans="1:11" x14ac:dyDescent="0.2">
      <c r="A30" s="2"/>
      <c r="B30" s="31" t="s">
        <v>11</v>
      </c>
      <c r="C30" s="32" t="s">
        <v>12</v>
      </c>
      <c r="D30" s="32" t="s">
        <v>13</v>
      </c>
      <c r="E30" s="32" t="s">
        <v>14</v>
      </c>
      <c r="F30" s="32" t="s">
        <v>15</v>
      </c>
      <c r="G30" s="9"/>
      <c r="H30" s="11"/>
    </row>
    <row r="31" spans="1:11" x14ac:dyDescent="0.2">
      <c r="A31" s="2"/>
      <c r="B31" s="30">
        <v>750441938.13</v>
      </c>
      <c r="C31" s="16"/>
      <c r="D31" s="61">
        <v>165968959.47999999</v>
      </c>
      <c r="E31" s="30">
        <f>C22</f>
        <v>-580439</v>
      </c>
      <c r="F31" s="30">
        <f>+B31+C31-D31+E31</f>
        <v>583892539.64999998</v>
      </c>
      <c r="G31" s="6"/>
      <c r="H31" s="2"/>
    </row>
    <row r="32" spans="1:11" ht="13.5" thickBot="1" x14ac:dyDescent="0.25">
      <c r="A32" s="2"/>
      <c r="B32" s="13"/>
      <c r="C32" s="18"/>
      <c r="D32" s="55"/>
      <c r="E32" s="18"/>
      <c r="F32" s="18"/>
      <c r="G32" s="6"/>
      <c r="H32" s="2"/>
    </row>
    <row r="33" spans="1:8" ht="13.5" thickBot="1" x14ac:dyDescent="0.25">
      <c r="A33" s="2"/>
      <c r="B33" s="51"/>
      <c r="C33" s="19"/>
      <c r="D33" s="19"/>
      <c r="E33" s="34" t="s">
        <v>16</v>
      </c>
      <c r="F33" s="35">
        <f>F28-F31</f>
        <v>1.5497207641601563E-6</v>
      </c>
      <c r="G33" s="9"/>
      <c r="H33" s="56"/>
    </row>
    <row r="34" spans="1:8" x14ac:dyDescent="0.2">
      <c r="A34" s="2"/>
      <c r="B34" s="2"/>
      <c r="C34" s="24"/>
      <c r="D34" s="11"/>
      <c r="E34" s="24"/>
      <c r="F34" s="24"/>
      <c r="G34" s="6"/>
      <c r="H34" s="2"/>
    </row>
    <row r="35" spans="1:8" x14ac:dyDescent="0.2">
      <c r="A35" s="2"/>
      <c r="B35" s="69"/>
      <c r="C35" s="69"/>
      <c r="D35" s="24"/>
      <c r="E35" s="24"/>
      <c r="F35" s="24"/>
      <c r="G35" s="6"/>
      <c r="H35" s="2"/>
    </row>
    <row r="36" spans="1:8" x14ac:dyDescent="0.2">
      <c r="B36" s="54"/>
      <c r="C36" s="54"/>
      <c r="D36" s="24"/>
      <c r="E36" s="19"/>
      <c r="F36" s="19"/>
      <c r="G36" s="19"/>
      <c r="H36" s="14"/>
    </row>
    <row r="37" spans="1:8" ht="15" x14ac:dyDescent="0.25">
      <c r="B37" s="18"/>
      <c r="C37" s="19"/>
      <c r="D37" s="53"/>
      <c r="E37" s="19"/>
      <c r="F37" s="14"/>
    </row>
    <row r="38" spans="1:8" x14ac:dyDescent="0.2">
      <c r="D38" s="11"/>
    </row>
    <row r="39" spans="1:8" x14ac:dyDescent="0.2">
      <c r="B39" s="54"/>
      <c r="C39" s="54"/>
    </row>
    <row r="40" spans="1:8" x14ac:dyDescent="0.2">
      <c r="B40" s="57"/>
      <c r="C40" s="57"/>
    </row>
  </sheetData>
  <mergeCells count="8">
    <mergeCell ref="B35:C35"/>
    <mergeCell ref="H4:H6"/>
    <mergeCell ref="C5:D5"/>
    <mergeCell ref="E5:F5"/>
    <mergeCell ref="B2:D2"/>
    <mergeCell ref="B4:B6"/>
    <mergeCell ref="C4:F4"/>
    <mergeCell ref="G4:G6"/>
  </mergeCells>
  <phoneticPr fontId="14" type="noConversion"/>
  <pageMargins left="0.7" right="0.7" top="0.75" bottom="0.75" header="0.3" footer="0.3"/>
  <pageSetup scale="57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0F01B-7ACD-4737-A834-7D22E2DC1157}">
  <dimension ref="A1:E13"/>
  <sheetViews>
    <sheetView workbookViewId="0">
      <selection activeCell="E13" sqref="E13"/>
    </sheetView>
  </sheetViews>
  <sheetFormatPr baseColWidth="10" defaultRowHeight="12.75" x14ac:dyDescent="0.2"/>
  <sheetData>
    <row r="1" spans="1:5" x14ac:dyDescent="0.2">
      <c r="A1" s="68" t="s">
        <v>40</v>
      </c>
    </row>
    <row r="2" spans="1:5" x14ac:dyDescent="0.2">
      <c r="A2" s="64" t="s">
        <v>27</v>
      </c>
      <c r="B2" s="58" t="s">
        <v>28</v>
      </c>
      <c r="C2" s="11" t="s">
        <v>29</v>
      </c>
      <c r="D2" s="58" t="s">
        <v>30</v>
      </c>
      <c r="E2" s="11" t="s">
        <v>31</v>
      </c>
    </row>
    <row r="3" spans="1:5" x14ac:dyDescent="0.2">
      <c r="A3" s="65">
        <v>44600</v>
      </c>
      <c r="B3" s="66" t="s">
        <v>38</v>
      </c>
      <c r="C3" s="67" t="s">
        <v>33</v>
      </c>
      <c r="D3" s="66" t="s">
        <v>34</v>
      </c>
      <c r="E3" s="67">
        <v>-60543.88</v>
      </c>
    </row>
    <row r="4" spans="1:5" x14ac:dyDescent="0.2">
      <c r="A4" s="65">
        <v>44615</v>
      </c>
      <c r="B4" s="66" t="s">
        <v>39</v>
      </c>
      <c r="C4" s="67" t="s">
        <v>33</v>
      </c>
      <c r="D4" s="66" t="s">
        <v>34</v>
      </c>
      <c r="E4" s="67">
        <v>-441942.29</v>
      </c>
    </row>
    <row r="5" spans="1:5" x14ac:dyDescent="0.2">
      <c r="E5" s="11">
        <f>SUM(E3:E4)</f>
        <v>-502486.17</v>
      </c>
    </row>
    <row r="7" spans="1:5" x14ac:dyDescent="0.2">
      <c r="A7" s="68" t="s">
        <v>41</v>
      </c>
    </row>
    <row r="8" spans="1:5" x14ac:dyDescent="0.2">
      <c r="A8" s="65" t="s">
        <v>27</v>
      </c>
      <c r="B8" s="66" t="s">
        <v>28</v>
      </c>
      <c r="C8" s="67" t="s">
        <v>29</v>
      </c>
      <c r="D8" s="66" t="s">
        <v>30</v>
      </c>
      <c r="E8" s="67" t="s">
        <v>31</v>
      </c>
    </row>
    <row r="9" spans="1:5" x14ac:dyDescent="0.2">
      <c r="A9" s="65">
        <v>44622</v>
      </c>
      <c r="B9" s="66" t="s">
        <v>32</v>
      </c>
      <c r="C9" s="67" t="s">
        <v>33</v>
      </c>
      <c r="D9" s="66" t="s">
        <v>34</v>
      </c>
      <c r="E9" s="67">
        <v>-13000</v>
      </c>
    </row>
    <row r="10" spans="1:5" x14ac:dyDescent="0.2">
      <c r="A10" s="65">
        <v>44622</v>
      </c>
      <c r="B10" s="66" t="s">
        <v>35</v>
      </c>
      <c r="C10" s="67" t="s">
        <v>33</v>
      </c>
      <c r="D10" s="66" t="s">
        <v>34</v>
      </c>
      <c r="E10" s="67">
        <v>-187400.73</v>
      </c>
    </row>
    <row r="11" spans="1:5" x14ac:dyDescent="0.2">
      <c r="A11" s="65">
        <v>44623</v>
      </c>
      <c r="B11" s="66" t="s">
        <v>36</v>
      </c>
      <c r="C11" s="67" t="s">
        <v>33</v>
      </c>
      <c r="D11" s="66" t="s">
        <v>34</v>
      </c>
      <c r="E11" s="67">
        <v>-30975.33</v>
      </c>
    </row>
    <row r="12" spans="1:5" x14ac:dyDescent="0.2">
      <c r="A12" s="65">
        <v>44628</v>
      </c>
      <c r="B12" s="66" t="s">
        <v>37</v>
      </c>
      <c r="C12" s="67" t="s">
        <v>33</v>
      </c>
      <c r="D12" s="66" t="s">
        <v>34</v>
      </c>
      <c r="E12" s="67">
        <v>-6103.23</v>
      </c>
    </row>
    <row r="13" spans="1:5" x14ac:dyDescent="0.2">
      <c r="E13" s="11">
        <f>SUM(E9:E12)</f>
        <v>-237479.29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CONCILIACION</vt:lpstr>
      <vt:lpstr>OF PTES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fcarreno</cp:lastModifiedBy>
  <cp:lastPrinted>2022-04-08T11:52:09Z</cp:lastPrinted>
  <dcterms:created xsi:type="dcterms:W3CDTF">1996-11-27T10:00:04Z</dcterms:created>
  <dcterms:modified xsi:type="dcterms:W3CDTF">2022-05-05T18:42:03Z</dcterms:modified>
</cp:coreProperties>
</file>